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N:\Macro Committee Documents\Capital Market Assumptions\2026 Vol and Correl\CAPM Input Templates\"/>
    </mc:Choice>
  </mc:AlternateContent>
  <xr:revisionPtr revIDLastSave="0" documentId="13_ncr:1_{418CF37E-12AD-4CE8-8C69-6CE9A6224887}" xr6:coauthVersionLast="47" xr6:coauthVersionMax="47" xr10:uidLastSave="{00000000-0000-0000-0000-000000000000}"/>
  <bookViews>
    <workbookView xWindow="-33270" yWindow="2110" windowWidth="22450" windowHeight="9500" xr2:uid="{5E0EDC87-2CF8-4AF8-AAC3-B714028D53BB}"/>
  </bookViews>
  <sheets>
    <sheet name="EF Inputs" sheetId="1" r:id="rId1"/>
    <sheet name="Sheet1" sheetId="2" state="hidden" r:id="rId2"/>
  </sheets>
  <definedNames>
    <definedName name="_xleta.RANDBETWEEN" hidden="1" xlm="1">#NAME?</definedName>
    <definedName name="_xlpm.H" hidden="1" xlm="1">#NAME?</definedName>
    <definedName name="_xlpm.star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B15" i="1"/>
  <c r="A3" i="2" a="1"/>
  <c r="A3" i="2" s="1"/>
  <c r="A2" i="2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<sst xmlns="http://schemas.openxmlformats.org/spreadsheetml/2006/main" count="278" uniqueCount="81">
  <si>
    <t>CAPM Inputs</t>
  </si>
  <si>
    <t>Input</t>
  </si>
  <si>
    <t>Value</t>
  </si>
  <si>
    <t>Risk Free Rate</t>
  </si>
  <si>
    <t># Iterations</t>
  </si>
  <si>
    <t># Possible Portfolios to Show</t>
  </si>
  <si>
    <t>Infra</t>
  </si>
  <si>
    <t>REITs</t>
  </si>
  <si>
    <t>Expected Returns</t>
  </si>
  <si>
    <t>Annualized Volatility</t>
  </si>
  <si>
    <t>Public Equities</t>
  </si>
  <si>
    <t>Public Debt</t>
  </si>
  <si>
    <t>Broad Geographic Constraints</t>
  </si>
  <si>
    <t>UK</t>
  </si>
  <si>
    <t>Asia</t>
  </si>
  <si>
    <t>Baseline Asset Class</t>
  </si>
  <si>
    <t>Broad Sector Constraints</t>
  </si>
  <si>
    <t>Geographic Classification</t>
  </si>
  <si>
    <t>Broad Sector Classifcation</t>
  </si>
  <si>
    <t>Asset Classes</t>
  </si>
  <si>
    <t>Remainder for Real Assets</t>
  </si>
  <si>
    <t>Min Weight (% of Real Assets)</t>
  </si>
  <si>
    <t>Max Weight (% of Real Assets)</t>
  </si>
  <si>
    <t>US</t>
  </si>
  <si>
    <t>Europe</t>
  </si>
  <si>
    <t>Other RE Alts</t>
  </si>
  <si>
    <t>Timber</t>
  </si>
  <si>
    <t>Agriculture</t>
  </si>
  <si>
    <t>Industrial RE</t>
  </si>
  <si>
    <t>Housing RE</t>
  </si>
  <si>
    <t>Office RE</t>
  </si>
  <si>
    <t>Retail RE</t>
  </si>
  <si>
    <t>Storage RE</t>
  </si>
  <si>
    <t>Data Center RE</t>
  </si>
  <si>
    <t>Global</t>
  </si>
  <si>
    <t>Timberland</t>
  </si>
  <si>
    <t>USApt</t>
  </si>
  <si>
    <t>USInd</t>
  </si>
  <si>
    <t>USOff</t>
  </si>
  <si>
    <t>USRet</t>
  </si>
  <si>
    <t>DataCenter</t>
  </si>
  <si>
    <t>USHotel</t>
  </si>
  <si>
    <t>USLifeSci</t>
  </si>
  <si>
    <t>USManuHsg</t>
  </si>
  <si>
    <t>USMedOff</t>
  </si>
  <si>
    <t>USSFR</t>
  </si>
  <si>
    <t>USSrHsg</t>
  </si>
  <si>
    <t>USStorage</t>
  </si>
  <si>
    <t>USStudent</t>
  </si>
  <si>
    <t>OpportunisticRE</t>
  </si>
  <si>
    <t>MSCIUK</t>
  </si>
  <si>
    <t>UKApt</t>
  </si>
  <si>
    <t>UKInd</t>
  </si>
  <si>
    <t>UKRet</t>
  </si>
  <si>
    <t>UKOff</t>
  </si>
  <si>
    <t>UKHotel</t>
  </si>
  <si>
    <t>UKStudent</t>
  </si>
  <si>
    <t>UKHealth</t>
  </si>
  <si>
    <t>UKDataCent</t>
  </si>
  <si>
    <t>MSCIEur</t>
  </si>
  <si>
    <t>EurApt</t>
  </si>
  <si>
    <t>EurInd</t>
  </si>
  <si>
    <t>EurOff</t>
  </si>
  <si>
    <t>EurRet</t>
  </si>
  <si>
    <t>EurHotel</t>
  </si>
  <si>
    <t>EurMed</t>
  </si>
  <si>
    <t>EurDataCenters</t>
  </si>
  <si>
    <t>EurStorage</t>
  </si>
  <si>
    <t>EurStudent</t>
  </si>
  <si>
    <t>AusRet</t>
  </si>
  <si>
    <t>AusOff</t>
  </si>
  <si>
    <t>AusInd</t>
  </si>
  <si>
    <t>AusHot</t>
  </si>
  <si>
    <t>JpyOff</t>
  </si>
  <si>
    <t>JpyInd</t>
  </si>
  <si>
    <t>JpyApt</t>
  </si>
  <si>
    <t>Farmland</t>
  </si>
  <si>
    <t>Infrastructure</t>
  </si>
  <si>
    <t>Diversified</t>
  </si>
  <si>
    <t>Correlations</t>
  </si>
  <si>
    <t>US 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</si>
</sst>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6" x14ac:knownFonts="1"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color theme="1"/>
      <name val="Aptos Narrow"/>
      <family val="2"/>
      <scheme val="minor"/>
    </font>
    <font>
      <sz val="11"/>
      <color theme="0"/>
      <name val="Aptos"/>
      <family val="2"/>
    </font>
    <font>
      <sz val="11"/>
      <name val="Aptos"/>
      <family val="2"/>
    </font>
    <font>
      <sz val="8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2" fontId="0" fillId="0" borderId="0" xfId="0" applyNumberFormat="1"/>
    <xf numFmtId="0" fontId="1" fillId="0" borderId="0" xfId="0" applyFont="1"/>
    <xf numFmtId="9" fontId="0" fillId="0" borderId="0" xfId="0" applyNumberFormat="1"/>
    <xf numFmtId="0" fontId="2" fillId="0" borderId="0" xfId="1"/>
    <xf numFmtId="0" fontId="0" fillId="2" borderId="1" xfId="0" applyFill="1" applyBorder="1"/>
    <xf numFmtId="9" fontId="4" fillId="0" borderId="0" xfId="0" applyNumberFormat="1" applyFont="1"/>
    <xf numFmtId="0" fontId="0" fillId="4" borderId="0" xfId="0" applyFill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10" fontId="4" fillId="3" borderId="2" xfId="0" applyNumberFormat="1" applyFont="1" applyFill="1" applyBorder="1"/>
    <xf numFmtId="1" fontId="4" fillId="3" borderId="2" xfId="0" applyNumberFormat="1" applyFont="1" applyFill="1" applyBorder="1"/>
    <xf numFmtId="3" fontId="4" fillId="3" borderId="5" xfId="0" applyNumberFormat="1" applyFont="1" applyFill="1" applyBorder="1"/>
    <xf numFmtId="9" fontId="4" fillId="3" borderId="2" xfId="0" applyNumberFormat="1" applyFont="1" applyFill="1" applyBorder="1"/>
    <xf numFmtId="0" fontId="0" fillId="0" borderId="4" xfId="0" applyBorder="1"/>
    <xf numFmtId="9" fontId="4" fillId="3" borderId="5" xfId="0" applyNumberFormat="1" applyFont="1" applyFill="1" applyBorder="1"/>
    <xf numFmtId="0" fontId="0" fillId="0" borderId="6" xfId="0" applyBorder="1"/>
    <xf numFmtId="9" fontId="0" fillId="0" borderId="7" xfId="0" applyNumberFormat="1" applyBorder="1"/>
    <xf numFmtId="0" fontId="3" fillId="0" borderId="0" xfId="0" applyFont="1"/>
    <xf numFmtId="0" fontId="0" fillId="2" borderId="0" xfId="0" applyFill="1"/>
    <xf numFmtId="10" fontId="0" fillId="0" borderId="0" xfId="0" applyNumberFormat="1"/>
    <xf numFmtId="10" fontId="0" fillId="0" borderId="8" xfId="0" applyNumberFormat="1" applyBorder="1"/>
    <xf numFmtId="0" fontId="0" fillId="0" borderId="8" xfId="0" applyBorder="1"/>
    <xf numFmtId="0" fontId="0" fillId="2" borderId="9" xfId="0" applyFill="1" applyBorder="1"/>
    <xf numFmtId="164" fontId="0" fillId="0" borderId="8" xfId="0" applyNumberFormat="1" applyBorder="1"/>
    <xf numFmtId="164" fontId="0" fillId="0" borderId="0" xfId="0" applyNumberFormat="1"/>
    <xf numFmtId="10" fontId="0" fillId="5" borderId="0" xfId="0" applyNumberFormat="1" applyFill="1"/>
    <xf numFmtId="10" fontId="0" fillId="3" borderId="0" xfId="0" applyNumberFormat="1" applyFill="1"/>
  </cellXfs>
  <cellStyles count="2">
    <cellStyle name="Normal" xfId="0" builtinId="0"/>
    <cellStyle name="Normal 2" xfId="1" xr:uid="{4B3A1C24-D831-4D3D-BCC6-A90F4A8FB0EE}"/>
  </cellStyles>
  <dxfs count="13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3" formatCode="0%"/>
      <fill>
        <patternFill>
          <fgColor indexed="64"/>
          <bgColor theme="3" tint="0.89999084444715716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4" formatCode="0.00%"/>
      <fill>
        <patternFill patternType="solid">
          <fgColor indexed="64"/>
          <bgColor theme="3" tint="0.89999084444715716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fgColor indexed="64"/>
          <bgColor theme="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002060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6795556505021"/>
        </vertical>
      </border>
    </dxf>
    <dxf>
      <fill>
        <patternFill>
          <bgColor rgb="FFDAE9F8"/>
        </patternFill>
      </fill>
    </dxf>
    <dxf>
      <font>
        <b val="0"/>
        <i val="0"/>
        <color auto="1"/>
      </font>
      <fill>
        <patternFill>
          <bgColor rgb="FFDAE9F8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theme="2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 style="thin">
          <color theme="0" tint="-0.14996795556505021"/>
        </vertical>
      </border>
    </dxf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00206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TableStyleMedium2" defaultPivotStyle="PivotStyleLight16">
    <tableStyle name="Table Style 1 2" pivot="0" count="6" xr9:uid="{07235A27-6E7B-4F48-93DA-C1CA263B565C}">
      <tableStyleElement type="wholeTable" dxfId="137"/>
      <tableStyleElement type="headerRow" dxfId="136"/>
      <tableStyleElement type="totalRow" dxfId="135"/>
      <tableStyleElement type="firstRowStripe" dxfId="134"/>
      <tableStyleElement type="firstColumnStripe" dxfId="133"/>
      <tableStyleElement type="secondColumnStripe" dxfId="132"/>
    </tableStyle>
    <tableStyle name="Table_Martin_Style" pivot="0" count="8" xr9:uid="{E6850223-A41D-49D4-8FEB-5A25E1EE9189}">
      <tableStyleElement type="wholeTable" dxfId="131"/>
      <tableStyleElement type="headerRow" dxfId="130"/>
      <tableStyleElement type="totalRow" dxfId="129"/>
      <tableStyleElement type="firstRowStripe" dxfId="128"/>
      <tableStyleElement type="secondRowStripe" dxfId="127"/>
      <tableStyleElement type="firstColumnStripe" dxfId="126"/>
      <tableStyleElement type="secondColumnStripe" dxfId="125"/>
      <tableStyleElement type="firstHeaderCell" dxfId="124"/>
    </tableStyle>
  </tableStyles>
  <colors>
    <mruColors>
      <color rgb="FFD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https://app.snowflake.com/east-us-2.azure/bla40017/#/streamlit-apps/SNOWFLAKE_LEARNING_DB.PUBLIC.A6B62ZC4BKQLMJYO" TargetMode="External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60960</xdr:rowOff>
    </xdr:from>
    <xdr:to>
      <xdr:col>2</xdr:col>
      <xdr:colOff>0</xdr:colOff>
      <xdr:row>23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9707B-0A1F-F60A-B02F-4B9D0E06C1AC}"/>
            </a:ext>
          </a:extLst>
        </xdr:cNvPr>
        <xdr:cNvSpPr txBox="1"/>
      </xdr:nvSpPr>
      <xdr:spPr>
        <a:xfrm>
          <a:off x="0" y="2831054"/>
          <a:ext cx="2779059" cy="13733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i="1"/>
            <a:t>Baseline asset classes should generally be locked at a set level, leaving room for real assets to fill in the remainder of the portfolio.  Their presence allows real assets to be evaluated in a broader portfolio environment.  </a:t>
          </a:r>
        </a:p>
      </xdr:txBody>
    </xdr:sp>
    <xdr:clientData/>
  </xdr:twoCellAnchor>
  <xdr:twoCellAnchor>
    <xdr:from>
      <xdr:col>0</xdr:col>
      <xdr:colOff>161108</xdr:colOff>
      <xdr:row>23</xdr:row>
      <xdr:rowOff>17417</xdr:rowOff>
    </xdr:from>
    <xdr:to>
      <xdr:col>0</xdr:col>
      <xdr:colOff>1097279</xdr:colOff>
      <xdr:row>27</xdr:row>
      <xdr:rowOff>15579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182B0B5-2B91-918D-F683-A5C4E6703590}"/>
            </a:ext>
          </a:extLst>
        </xdr:cNvPr>
        <xdr:cNvGrpSpPr/>
      </xdr:nvGrpSpPr>
      <xdr:grpSpPr>
        <a:xfrm>
          <a:off x="161108" y="4186005"/>
          <a:ext cx="936171" cy="745221"/>
          <a:chOff x="421860" y="4554582"/>
          <a:chExt cx="923613" cy="880959"/>
        </a:xfrm>
      </xdr:grpSpPr>
      <xdr:pic macro="[0]!SyncHeadersTransposeTrimResizeAndClean">
        <xdr:nvPicPr>
          <xdr:cNvPr id="4" name="Graphic 3" descr="Syncing cloud with solid fill">
            <a:extLst>
              <a:ext uri="{FF2B5EF4-FFF2-40B4-BE49-F238E27FC236}">
                <a16:creationId xmlns:a16="http://schemas.microsoft.com/office/drawing/2014/main" id="{2BA2EACE-78F4-C11B-67DC-C384867446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502536" y="4712872"/>
            <a:ext cx="709765" cy="722669"/>
          </a:xfrm>
          <a:prstGeom prst="rect">
            <a:avLst/>
          </a:prstGeom>
        </xdr:spPr>
      </xdr:pic>
      <xdr:sp macro="[0]!SyncHeadersTransposeTrimResizeAndClean" textlink="">
        <xdr:nvSpPr>
          <xdr:cNvPr id="5" name="TextBox 4">
            <a:extLst>
              <a:ext uri="{FF2B5EF4-FFF2-40B4-BE49-F238E27FC236}">
                <a16:creationId xmlns:a16="http://schemas.microsoft.com/office/drawing/2014/main" id="{BD3F981F-3B2B-1E3F-5BAB-6561F98F2CC4}"/>
              </a:ext>
            </a:extLst>
          </xdr:cNvPr>
          <xdr:cNvSpPr txBox="1"/>
        </xdr:nvSpPr>
        <xdr:spPr>
          <a:xfrm>
            <a:off x="421860" y="4554582"/>
            <a:ext cx="923613" cy="772782"/>
          </a:xfrm>
          <a:prstGeom prst="rect">
            <a:avLst/>
          </a:prstGeom>
          <a:no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sync headers</a:t>
            </a:r>
          </a:p>
        </xdr:txBody>
      </xdr:sp>
    </xdr:grpSp>
    <xdr:clientData/>
  </xdr:twoCellAnchor>
  <xdr:twoCellAnchor>
    <xdr:from>
      <xdr:col>0</xdr:col>
      <xdr:colOff>140368</xdr:colOff>
      <xdr:row>27</xdr:row>
      <xdr:rowOff>24064</xdr:rowOff>
    </xdr:from>
    <xdr:to>
      <xdr:col>0</xdr:col>
      <xdr:colOff>1577788</xdr:colOff>
      <xdr:row>30</xdr:row>
      <xdr:rowOff>143436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1A1CCCF-9A28-453A-2429-DC6A29272B0E}"/>
            </a:ext>
          </a:extLst>
        </xdr:cNvPr>
        <xdr:cNvGrpSpPr/>
      </xdr:nvGrpSpPr>
      <xdr:grpSpPr>
        <a:xfrm>
          <a:off x="140368" y="4939711"/>
          <a:ext cx="1437420" cy="679666"/>
          <a:chOff x="140368" y="5073316"/>
          <a:chExt cx="1355557" cy="680845"/>
        </a:xfrm>
      </xdr:grpSpPr>
      <xdr:sp macro="[0]!MirrorCorrelationValuesAndFillDiagonal" textlink="">
        <xdr:nvSpPr>
          <xdr:cNvPr id="9" name="TextBox 8">
            <a:extLst>
              <a:ext uri="{FF2B5EF4-FFF2-40B4-BE49-F238E27FC236}">
                <a16:creationId xmlns:a16="http://schemas.microsoft.com/office/drawing/2014/main" id="{4CD5FAF2-CCAE-2A55-01F3-E910EF5C0D75}"/>
              </a:ext>
            </a:extLst>
          </xdr:cNvPr>
          <xdr:cNvSpPr txBox="1"/>
        </xdr:nvSpPr>
        <xdr:spPr>
          <a:xfrm>
            <a:off x="140368" y="5073316"/>
            <a:ext cx="1355557" cy="67777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Update Correlation Matrix</a:t>
            </a:r>
          </a:p>
        </xdr:txBody>
      </xdr:sp>
      <xdr:pic macro="[0]!MirrorCorrelationValuesAndFillDiagonal">
        <xdr:nvPicPr>
          <xdr:cNvPr id="8" name="Graphic 7" descr="Table with solid fill">
            <a:extLst>
              <a:ext uri="{FF2B5EF4-FFF2-40B4-BE49-F238E27FC236}">
                <a16:creationId xmlns:a16="http://schemas.microsoft.com/office/drawing/2014/main" id="{EE523F67-7E08-F8AA-7210-92FF74B86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7661" y="5191744"/>
            <a:ext cx="546847" cy="562417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0</xdr:colOff>
      <xdr:row>2</xdr:row>
      <xdr:rowOff>3250</xdr:rowOff>
    </xdr:from>
    <xdr:to>
      <xdr:col>12</xdr:col>
      <xdr:colOff>0</xdr:colOff>
      <xdr:row>5</xdr:row>
      <xdr:rowOff>0</xdr:rowOff>
    </xdr:to>
    <xdr:pic>
      <xdr:nvPicPr>
        <xdr:cNvPr id="3" name="Picture 2">
          <a:hlinkClick xmlns:r="http://schemas.openxmlformats.org/officeDocument/2006/relationships" r:id="rId5" tooltip="Click to go to the app. Will need to login"/>
          <a:extLst>
            <a:ext uri="{FF2B5EF4-FFF2-40B4-BE49-F238E27FC236}">
              <a16:creationId xmlns:a16="http://schemas.microsoft.com/office/drawing/2014/main" id="{8B79C84A-F894-7E03-3F93-7848DFC07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05247" y="224193"/>
          <a:ext cx="1801906" cy="54677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9CF793-4642-4E97-A97A-0F1A799CCA70}" name="tbl_Returns" displayName="tbl_Returns" ref="D11:AY18" totalsRowShown="0" dataDxfId="120" tableBorderDxfId="119">
  <autoFilter ref="D11:AY18" xr:uid="{169CF793-4642-4E97-A97A-0F1A799CCA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F4307EA-2349-4E2C-9408-8D15D85E7B6E}" name="Asset Classes" dataDxfId="118"/>
    <tableColumn id="2" xr3:uid="{2A25489F-45DA-4048-8BFB-E17E46C35495}" name="US Core" dataDxfId="117"/>
    <tableColumn id="3" xr3:uid="{24914C84-EC0E-479B-AFC0-793240F0895E}" name="USApt" dataDxfId="116"/>
    <tableColumn id="4" xr3:uid="{A5D9A31E-70A2-44DB-AF13-DDA3C44750D4}" name="USInd" dataDxfId="115"/>
    <tableColumn id="5" xr3:uid="{6879B458-3600-4F06-A788-371C6BF95937}" name="USOff" dataDxfId="114"/>
    <tableColumn id="6" xr3:uid="{C1424752-91A9-4F33-B0D0-924BE4E9D2FE}" name="USRet" dataDxfId="113"/>
    <tableColumn id="7" xr3:uid="{FAD9DB7C-BB5A-4637-91D2-13FD1529E0E4}" name="DataCenter" dataDxfId="112"/>
    <tableColumn id="8" xr3:uid="{46E5D74E-00CD-4042-93DC-243183759210}" name="USHotel" dataDxfId="111"/>
    <tableColumn id="9" xr3:uid="{8E183504-D286-4A96-97F6-FD79C708F7BE}" name="USLifeSci" dataDxfId="110"/>
    <tableColumn id="10" xr3:uid="{B071A458-E635-44A5-9402-8EB91E27AD24}" name="USManuHsg" dataDxfId="109"/>
    <tableColumn id="11" xr3:uid="{10E854F8-7178-4DAC-AF3C-B73A4AC53FBC}" name="USMedOff" dataDxfId="108"/>
    <tableColumn id="12" xr3:uid="{9365232A-0BB7-444B-838C-0DA1C9CEC65A}" name="USSFR" dataDxfId="107"/>
    <tableColumn id="13" xr3:uid="{C7FB6F8A-72A1-483A-ACFA-4AEEC3585102}" name="USSrHsg" dataDxfId="106"/>
    <tableColumn id="14" xr3:uid="{1568C82A-A138-4E73-AE87-132CAD04C7BF}" name="USStorage" dataDxfId="105"/>
    <tableColumn id="15" xr3:uid="{CD6553B4-0911-4512-90B4-9C10B5CB25F3}" name="USStudent" dataDxfId="104"/>
    <tableColumn id="16" xr3:uid="{021E16C1-B38B-4594-9FBC-46BA6F2A837A}" name="OpportunisticRE" dataDxfId="103"/>
    <tableColumn id="17" xr3:uid="{116BA1C0-91EE-4FCF-B790-85F4D71EA60D}" name="MSCIUK" dataDxfId="102"/>
    <tableColumn id="18" xr3:uid="{D2C2C8C2-88CF-48C7-8E7E-A166DB53736B}" name="UKApt" dataDxfId="101"/>
    <tableColumn id="19" xr3:uid="{DB4CC16B-36C1-447D-A355-A084B92767C0}" name="UKInd" dataDxfId="100"/>
    <tableColumn id="20" xr3:uid="{A4A1F300-B260-453E-8323-5879F1FE03F9}" name="UKRet" dataDxfId="99"/>
    <tableColumn id="21" xr3:uid="{CB437287-EBEF-4401-BB0A-A3D9EEFCB8C5}" name="UKOff" dataDxfId="98"/>
    <tableColumn id="22" xr3:uid="{B9FFBB55-992A-4BF0-8C72-E58E9BB3CB04}" name="UKHotel" dataDxfId="97"/>
    <tableColumn id="23" xr3:uid="{029D4079-294D-464A-AAD4-BFC0EB4CFFF0}" name="UKStudent" dataDxfId="96"/>
    <tableColumn id="24" xr3:uid="{DAF02766-5F7A-4141-8F5E-873FCC397BB6}" name="UKHealth" dataDxfId="95"/>
    <tableColumn id="25" xr3:uid="{865FC6D2-1CC9-4369-B925-D2B22A9715D8}" name="UKDataCent" dataDxfId="94"/>
    <tableColumn id="27" xr3:uid="{49332CB3-3182-451D-8C00-33622523F60C}" name="MSCIEur" dataDxfId="93"/>
    <tableColumn id="28" xr3:uid="{0176C06E-1810-4A7B-B55C-98044875ACAE}" name="EurApt" dataDxfId="92"/>
    <tableColumn id="29" xr3:uid="{282204B9-67B4-4D51-9C6D-29F9889D989F}" name="EurInd" dataDxfId="91"/>
    <tableColumn id="30" xr3:uid="{00B5C96A-C3D7-49F0-A924-A5DE65C06570}" name="EurOff" dataDxfId="90"/>
    <tableColumn id="31" xr3:uid="{38675444-775D-49E4-B9D7-2C09A5753D8A}" name="EurRet" dataDxfId="89"/>
    <tableColumn id="32" xr3:uid="{ACA23C89-00F5-4BC2-A0EE-E028C1267351}" name="EurHotel" dataDxfId="88"/>
    <tableColumn id="33" xr3:uid="{62F0B68B-7671-438C-BEE9-AFF8410C1AC6}" name="EurMed" dataDxfId="87"/>
    <tableColumn id="34" xr3:uid="{DE0ED9D1-5B9A-4C0D-8F6A-571B65358C78}" name="EurDataCenters" dataDxfId="86"/>
    <tableColumn id="35" xr3:uid="{3EE175A9-7FE4-4FA2-BC15-E2645E3164DC}" name="EurStorage" dataDxfId="85"/>
    <tableColumn id="36" xr3:uid="{DDB3E5F6-FA91-4F7F-BBF8-B7105C2A84FE}" name="EurStudent" dataDxfId="84"/>
    <tableColumn id="39" xr3:uid="{001D1F66-9D39-4B0E-94A8-5560B23ADB9D}" name="AusRet" dataDxfId="83"/>
    <tableColumn id="40" xr3:uid="{19A0EA8C-5FDC-4B02-A192-EBB828E9790E}" name="AusOff" dataDxfId="82"/>
    <tableColumn id="41" xr3:uid="{029BDB24-9E9A-44FC-9F65-FDF7A48F3937}" name="AusInd" dataDxfId="81"/>
    <tableColumn id="42" xr3:uid="{8D2523ED-9041-45AC-951C-31A2FE1CC3AF}" name="AusHot" dataDxfId="80"/>
    <tableColumn id="44" xr3:uid="{397507BE-4DC9-4484-A54F-E023857F4150}" name="JpyOff" dataDxfId="79"/>
    <tableColumn id="45" xr3:uid="{ADCAB52F-1302-4C73-9671-0DBC18C50BDF}" name="JpyInd" dataDxfId="78"/>
    <tableColumn id="46" xr3:uid="{A85C26DC-466B-41E8-9EDE-E96DCAA73A95}" name="JpyApt" dataDxfId="77"/>
    <tableColumn id="48" xr3:uid="{1A0C1CD7-3963-472C-8C50-CF3BC0377FA9}" name="Farmland" dataDxfId="76"/>
    <tableColumn id="49" xr3:uid="{8570BEC3-8184-410A-A9CE-3B842B1E7D4E}" name="Infrastructure" dataDxfId="75"/>
    <tableColumn id="50" xr3:uid="{9BD62890-7338-45AA-8F99-DF7240E13B46}" name="Timberland" dataDxfId="74"/>
    <tableColumn id="52" xr3:uid="{B7E3DD11-76DF-4C9E-B229-607EF8F2398B}" name="Public Equities" dataDxfId="73"/>
    <tableColumn id="53" xr3:uid="{66AADD23-12DA-4F71-BEAD-2DE538B08165}" name="Public Debt" dataDxfId="72"/>
    <tableColumn id="54" xr3:uid="{0B0DD004-CF38-4196-8A85-89C8F92065B4}" name="REITs" dataDxfId="71"/>
  </tableColumns>
  <tableStyleInfo name="Table_Martin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2F7C10-5BE6-45DC-9644-41FAF2098FCD}" name="tbl_Correlations" displayName="tbl_Correlations" ref="D20:AY67" totalsRowShown="0">
  <tableColumns count="48">
    <tableColumn id="1" xr3:uid="{57776322-D842-4C29-BBA5-1766E75E2363}" name="Correlations"/>
    <tableColumn id="2" xr3:uid="{CC8988A1-CCB0-49AE-8052-61FFF49DB09C}" name="US Core" dataDxfId="70"/>
    <tableColumn id="3" xr3:uid="{A9E4481A-08C8-48DF-B931-CB5C93F0EDC3}" name="USApt" dataDxfId="69"/>
    <tableColumn id="4" xr3:uid="{DB57229D-4D04-4E71-9439-D90221317D43}" name="USInd" dataDxfId="68"/>
    <tableColumn id="5" xr3:uid="{A94625E2-DD75-4C6A-9B60-401ADE021BF2}" name="USOff" dataDxfId="67"/>
    <tableColumn id="6" xr3:uid="{435C2AC2-B9CD-40BE-BED6-DDB7C6AFECEA}" name="USRet" dataDxfId="66"/>
    <tableColumn id="7" xr3:uid="{D9691F8E-D68D-4A0A-844C-A049182A3AB1}" name="DataCenter" dataDxfId="65"/>
    <tableColumn id="8" xr3:uid="{B0688B86-4F10-46C6-801D-9F7EEB510E25}" name="USHotel" dataDxfId="64"/>
    <tableColumn id="9" xr3:uid="{DB1E50DE-0E7F-4D29-8745-10E2CBEC459D}" name="USLifeSci" dataDxfId="63"/>
    <tableColumn id="10" xr3:uid="{954AEAF0-3346-4466-886A-E983BC07709A}" name="USManuHsg" dataDxfId="62"/>
    <tableColumn id="11" xr3:uid="{B07CE1B9-4A51-457E-AAEB-0A9FEE2E0989}" name="USMedOff" dataDxfId="61"/>
    <tableColumn id="12" xr3:uid="{D1A03AA8-6A4B-475F-9330-26322F89523A}" name="USSFR" dataDxfId="60"/>
    <tableColumn id="13" xr3:uid="{553483D0-F367-4CA7-9BED-F30A06412243}" name="USSrHsg" dataDxfId="59"/>
    <tableColumn id="14" xr3:uid="{A42DD860-343D-4BB8-820E-098C1FBEF488}" name="USStorage" dataDxfId="58"/>
    <tableColumn id="15" xr3:uid="{6562629A-6074-431A-852E-F42EA5104D6B}" name="USStudent" dataDxfId="57"/>
    <tableColumn id="16" xr3:uid="{A05BD7DB-250B-4937-A1DD-8FD722718A27}" name="OpportunisticRE" dataDxfId="56"/>
    <tableColumn id="17" xr3:uid="{201D0858-64E1-4D3A-844D-5F1D275BB812}" name="MSCIUK" dataDxfId="55"/>
    <tableColumn id="18" xr3:uid="{5C078340-9856-44F6-8B19-5E2BDCB56755}" name="UKApt" dataDxfId="54"/>
    <tableColumn id="19" xr3:uid="{1376B142-82CF-4E41-BC9C-9EA85997A448}" name="UKInd" dataDxfId="53"/>
    <tableColumn id="20" xr3:uid="{997E8BCF-C3B0-4C51-A096-66EC7175347E}" name="UKRet" dataDxfId="52"/>
    <tableColumn id="21" xr3:uid="{3B2CA194-126B-498D-9783-EAAE395B325C}" name="UKOff" dataDxfId="51"/>
    <tableColumn id="22" xr3:uid="{281DD6E3-2296-4DF7-92B6-CB6310BA503F}" name="UKHotel" dataDxfId="50"/>
    <tableColumn id="23" xr3:uid="{EAFE4C5F-3E0A-4F80-99CD-54FAD36D9180}" name="UKStudent" dataDxfId="49"/>
    <tableColumn id="24" xr3:uid="{0A643008-1E78-4F7E-960A-303EF910BB95}" name="UKHealth" dataDxfId="48"/>
    <tableColumn id="25" xr3:uid="{23AC4F53-332D-44F2-9782-7749C99C4A3E}" name="UKDataCent" dataDxfId="47"/>
    <tableColumn id="26" xr3:uid="{30E4491E-3794-4E58-8B12-7D325F6B4F0E}" name="MSCIEur" dataDxfId="46"/>
    <tableColumn id="27" xr3:uid="{6B5ACF7C-38BB-42EF-BF40-7B6FCAB5900B}" name="EurApt" dataDxfId="45"/>
    <tableColumn id="28" xr3:uid="{C15D929D-CEF5-4D14-BCD5-EAB311587D77}" name="EurInd" dataDxfId="44"/>
    <tableColumn id="29" xr3:uid="{4EEA947B-C977-44CB-A08E-CFF4C3BD80E2}" name="EurOff" dataDxfId="43"/>
    <tableColumn id="30" xr3:uid="{A752EC7B-947D-4E89-8026-DC6F80E4CA54}" name="EurRet" dataDxfId="42"/>
    <tableColumn id="31" xr3:uid="{85FB33A3-3D71-4E4B-9ED0-0942E77C78A5}" name="EurHotel" dataDxfId="41"/>
    <tableColumn id="32" xr3:uid="{11FD8DD8-4E59-4D2D-8AF9-1CF777AF89AA}" name="EurMed" dataDxfId="40"/>
    <tableColumn id="33" xr3:uid="{4346955D-2656-4F80-AC4B-643CB46C61A7}" name="EurDataCenters" dataDxfId="39"/>
    <tableColumn id="34" xr3:uid="{ED155A8E-6B6D-4C54-A0C6-2912386F8345}" name="EurStorage" dataDxfId="38"/>
    <tableColumn id="35" xr3:uid="{65595D8E-EF03-4178-BF6E-586D2F9AA306}" name="EurStudent" dataDxfId="37"/>
    <tableColumn id="36" xr3:uid="{A4B3DAC3-21B4-41AC-8DE3-FE5ACE9D8FE6}" name="AusRet" dataDxfId="36"/>
    <tableColumn id="37" xr3:uid="{49F78B50-51B3-4CBF-9A63-F3464BEE6760}" name="AusOff" dataDxfId="35"/>
    <tableColumn id="38" xr3:uid="{6DD97520-B456-471B-89A0-4320C5F283AF}" name="AusInd" dataDxfId="34"/>
    <tableColumn id="39" xr3:uid="{77C16B2E-4C14-4FCD-84F8-E2BCD966B82F}" name="AusHot" dataDxfId="33"/>
    <tableColumn id="40" xr3:uid="{C4744392-0ADF-47D5-805F-A1CF03FC0976}" name="JpyOff" dataDxfId="32"/>
    <tableColumn id="41" xr3:uid="{F09D09FA-1942-431B-A398-C35A3E9F41C9}" name="JpyInd" dataDxfId="31"/>
    <tableColumn id="42" xr3:uid="{C59BFE73-AB1B-4193-AE83-527F16ABCB94}" name="JpyApt" dataDxfId="30"/>
    <tableColumn id="43" xr3:uid="{6F79772C-422B-41EE-AC0A-F022C9F1AC4B}" name="Farmland" dataDxfId="29"/>
    <tableColumn id="44" xr3:uid="{FB4FB7B0-81FF-425D-B8C4-0969F864EAC8}" name="Infrastructure" dataDxfId="28"/>
    <tableColumn id="45" xr3:uid="{70F22A3D-C120-4615-A2B0-FAA0A8C88758}" name="Timberland" dataDxfId="27"/>
    <tableColumn id="46" xr3:uid="{B9F149EB-4AD0-4E7F-85D0-3E655318AA9A}" name="Public Equities" dataDxfId="26"/>
    <tableColumn id="47" xr3:uid="{F6283208-C3D0-463E-AAF4-C58045AED851}" name="Public Debt" dataDxfId="25"/>
    <tableColumn id="48" xr3:uid="{5F97BD59-0576-4B13-9E88-17E91CAED772}" name="REITs" dataDxfId="24"/>
  </tableColumns>
  <tableStyleInfo name="Table_Martin_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0A815A-FA93-44EA-AFA2-269C9C99796E}" name="tbl_inputs" displayName="tbl_inputs" ref="A3:B6" totalsRowShown="0" dataDxfId="23" tableBorderDxfId="22">
  <autoFilter ref="A3:B6" xr:uid="{880A815A-FA93-44EA-AFA2-269C9C99796E}">
    <filterColumn colId="0" hiddenButton="1"/>
    <filterColumn colId="1" hiddenButton="1"/>
  </autoFilter>
  <tableColumns count="2">
    <tableColumn id="1" xr3:uid="{6C0E6D81-A972-43BE-9376-9DACAA315F77}" name="Input" dataDxfId="21"/>
    <tableColumn id="2" xr3:uid="{FC6BD9BA-E01E-4F9E-80EE-CA7D16C84DFC}" name="Value" dataDxfId="20"/>
  </tableColumns>
  <tableStyleInfo name="Table Style 1 2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8743E9-E80B-4BD1-B199-6FB2C525F1FD}" name="tbl_Baseline_AssetClasses" displayName="tbl_Baseline_AssetClasses" ref="A11:B13" totalsRowShown="0" tableBorderDxfId="19">
  <tableColumns count="2">
    <tableColumn id="1" xr3:uid="{85CECBFA-53F5-4C75-8C0A-8E597FD1B485}" name="Baseline Asset Class" dataDxfId="18"/>
    <tableColumn id="2" xr3:uid="{E75C40A5-9A1F-4F12-BEE5-05D6D0600060}" name="Value" dataDxfId="17"/>
  </tableColumns>
  <tableStyleInfo name="Table Style 1 2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C799DE-C661-483B-9544-109A544E7376}" name="tbl_BroadGeo" displayName="tbl_BroadGeo" ref="D3:I5" totalsRowShown="0">
  <autoFilter ref="D3:I5" xr:uid="{40C799DE-C661-483B-9544-109A544E73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4A0A25C-4E29-4F8A-8191-E311524A3AC0}" name="Broad Geographic Constraints"/>
    <tableColumn id="2" xr3:uid="{D554AA8D-DCAD-42FD-AAEE-7724637ACE36}" name="US" dataDxfId="16"/>
    <tableColumn id="3" xr3:uid="{9BBA16C0-E2F9-43EC-ABD7-DCB9152748D7}" name="UK" dataDxfId="15"/>
    <tableColumn id="4" xr3:uid="{4AAFBCA3-EA87-499B-AFA4-5F08071F9F8E}" name="Europe" dataDxfId="14"/>
    <tableColumn id="5" xr3:uid="{7B7352D6-0DE3-42C4-A05D-D0A2D58912A6}" name="Asia" dataDxfId="13"/>
    <tableColumn id="6" xr3:uid="{0C986F6F-B584-45C9-B47C-C20D02D11E56}" name="Global" dataDxfId="12"/>
  </tableColumns>
  <tableStyleInfo name="Table_Martin_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EAD1F6-4681-4DE8-920D-4ADE665326B8}" name="tbl_BroadSector" displayName="tbl_BroadSector" ref="D7:P9" totalsRowShown="0">
  <autoFilter ref="D7:P9" xr:uid="{38EAD1F6-4681-4DE8-920D-4ADE665326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D5C7372-E377-42D0-AA08-FAEEA5427043}" name="Broad Sector Constraints"/>
    <tableColumn id="2" xr3:uid="{5A804002-B92B-417F-B2C1-04459DA1A3B4}" name="Industrial RE" dataDxfId="11"/>
    <tableColumn id="3" xr3:uid="{D822724B-56AF-4E98-BB5D-97FBA4A0D03A}" name="Housing RE" dataDxfId="10"/>
    <tableColumn id="4" xr3:uid="{343DFE45-0645-4323-9EA2-5EB212A0D8E2}" name="Office RE" dataDxfId="9"/>
    <tableColumn id="5" xr3:uid="{712AE65F-9E9F-4835-9BDD-7B1B874A8120}" name="Retail RE" dataDxfId="8"/>
    <tableColumn id="6" xr3:uid="{00EB0746-9E0B-4BC0-A302-F928C662EB39}" name="Data Center RE" dataDxfId="7"/>
    <tableColumn id="7" xr3:uid="{50739CD1-B980-41B2-870A-59A489E9C9CE}" name="Storage RE" dataDxfId="6"/>
    <tableColumn id="8" xr3:uid="{029F272B-2E85-4209-BACD-44154D8E4C0D}" name="Other RE Alts" dataDxfId="5"/>
    <tableColumn id="9" xr3:uid="{0614BCF9-EA94-46B1-B7CD-71A987AACFB8}" name="Infra" dataDxfId="4"/>
    <tableColumn id="10" xr3:uid="{2498E471-2045-49E0-96DC-E4F582A08F34}" name="Timber" dataDxfId="3"/>
    <tableColumn id="11" xr3:uid="{A3EAEB1B-91A0-43BB-9713-EAAAAAF436BF}" name="Agriculture" dataDxfId="2"/>
    <tableColumn id="12" xr3:uid="{01D99CA5-7D11-40E8-8BF5-F2B4875AE3FC}" name="REITs" dataDxfId="1"/>
    <tableColumn id="13" xr3:uid="{53E7608F-3C06-4A95-A472-BEE9315BF74B}" name="Diversified" dataDxfId="0"/>
  </tableColumns>
  <tableStyleInfo name="Table_Martin_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AE44D-A70C-46BC-883E-A7F298D28369}">
  <sheetPr codeName="Sheet1"/>
  <dimension ref="A1:AY104"/>
  <sheetViews>
    <sheetView showGridLines="0" tabSelected="1" zoomScale="85" zoomScaleNormal="85" workbookViewId="0">
      <selection activeCell="AY15" sqref="AY15"/>
    </sheetView>
  </sheetViews>
  <sheetFormatPr defaultRowHeight="14.5" x14ac:dyDescent="0.35"/>
  <cols>
    <col min="1" max="1" width="24.58203125" customWidth="1"/>
    <col min="2" max="2" width="11.83203125" customWidth="1"/>
    <col min="3" max="3" width="3" customWidth="1"/>
    <col min="4" max="4" width="27.33203125" customWidth="1"/>
    <col min="5" max="5" width="12.25" customWidth="1"/>
    <col min="6" max="6" width="10.5" bestFit="1" customWidth="1"/>
    <col min="7" max="11" width="12.25" customWidth="1"/>
    <col min="12" max="12" width="11.25" bestFit="1" customWidth="1"/>
    <col min="13" max="18" width="12.25" customWidth="1"/>
    <col min="19" max="19" width="15.25" bestFit="1" customWidth="1"/>
    <col min="20" max="51" width="12.25" customWidth="1"/>
  </cols>
  <sheetData>
    <row r="1" spans="1:51" x14ac:dyDescent="0.35">
      <c r="A1" s="2" t="s">
        <v>0</v>
      </c>
    </row>
    <row r="2" spans="1:51" ht="4.4000000000000004" customHeight="1" x14ac:dyDescent="0.35">
      <c r="A2" s="2"/>
    </row>
    <row r="3" spans="1:51" x14ac:dyDescent="0.35">
      <c r="A3" t="s">
        <v>1</v>
      </c>
      <c r="B3" s="7" t="s">
        <v>2</v>
      </c>
      <c r="D3" t="s">
        <v>12</v>
      </c>
      <c r="E3" t="s">
        <v>23</v>
      </c>
      <c r="F3" t="s">
        <v>13</v>
      </c>
      <c r="G3" t="s">
        <v>24</v>
      </c>
      <c r="H3" t="s">
        <v>14</v>
      </c>
      <c r="I3" t="s">
        <v>34</v>
      </c>
    </row>
    <row r="4" spans="1:51" x14ac:dyDescent="0.35">
      <c r="A4" s="8" t="s">
        <v>3</v>
      </c>
      <c r="B4" s="10">
        <v>4.2000000000000003E-2</v>
      </c>
      <c r="D4" t="s">
        <v>21</v>
      </c>
      <c r="E4" s="20">
        <v>0.05</v>
      </c>
      <c r="F4" s="20">
        <v>0.05</v>
      </c>
      <c r="G4" s="20">
        <v>0.05</v>
      </c>
      <c r="H4" s="20">
        <v>0.05</v>
      </c>
      <c r="I4" s="20">
        <v>0.05</v>
      </c>
      <c r="J4" s="20"/>
      <c r="K4" s="20"/>
    </row>
    <row r="5" spans="1:51" x14ac:dyDescent="0.35">
      <c r="A5" s="8" t="s">
        <v>4</v>
      </c>
      <c r="B5" s="11">
        <v>500</v>
      </c>
      <c r="D5" t="s">
        <v>22</v>
      </c>
      <c r="E5" s="20">
        <v>0.8</v>
      </c>
      <c r="F5" s="20">
        <v>0.6</v>
      </c>
      <c r="G5" s="20">
        <v>0.6</v>
      </c>
      <c r="H5" s="20">
        <v>0.6</v>
      </c>
      <c r="I5" s="20">
        <v>0.6</v>
      </c>
      <c r="J5" s="20"/>
      <c r="K5" s="20"/>
    </row>
    <row r="6" spans="1:51" x14ac:dyDescent="0.35">
      <c r="A6" s="9" t="s">
        <v>5</v>
      </c>
      <c r="B6" s="12">
        <v>2500</v>
      </c>
    </row>
    <row r="7" spans="1:51" x14ac:dyDescent="0.35">
      <c r="D7" t="s">
        <v>16</v>
      </c>
      <c r="E7" t="s">
        <v>28</v>
      </c>
      <c r="F7" t="s">
        <v>29</v>
      </c>
      <c r="G7" t="s">
        <v>30</v>
      </c>
      <c r="H7" t="s">
        <v>31</v>
      </c>
      <c r="I7" t="s">
        <v>33</v>
      </c>
      <c r="J7" t="s">
        <v>32</v>
      </c>
      <c r="K7" t="s">
        <v>25</v>
      </c>
      <c r="L7" t="s">
        <v>6</v>
      </c>
      <c r="M7" t="s">
        <v>26</v>
      </c>
      <c r="N7" t="s">
        <v>27</v>
      </c>
      <c r="O7" t="s">
        <v>7</v>
      </c>
      <c r="P7" t="s">
        <v>78</v>
      </c>
    </row>
    <row r="8" spans="1:51" x14ac:dyDescent="0.35">
      <c r="D8" t="s">
        <v>21</v>
      </c>
      <c r="E8" s="20">
        <v>0.1</v>
      </c>
      <c r="F8" s="20">
        <v>0.1</v>
      </c>
      <c r="G8" s="20">
        <v>0.05</v>
      </c>
      <c r="H8" s="20">
        <v>0.05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0</v>
      </c>
      <c r="P8" s="20">
        <v>0</v>
      </c>
      <c r="Q8" s="20"/>
      <c r="R8" s="20"/>
    </row>
    <row r="9" spans="1:51" x14ac:dyDescent="0.35">
      <c r="D9" t="s">
        <v>22</v>
      </c>
      <c r="E9" s="20">
        <v>0.5</v>
      </c>
      <c r="F9" s="20">
        <v>0.5</v>
      </c>
      <c r="G9" s="20">
        <v>0.4</v>
      </c>
      <c r="H9" s="20">
        <v>0.4</v>
      </c>
      <c r="I9" s="20">
        <v>0.4</v>
      </c>
      <c r="J9" s="20">
        <v>0.4</v>
      </c>
      <c r="K9" s="20">
        <v>0.4</v>
      </c>
      <c r="L9" s="20">
        <v>0.4</v>
      </c>
      <c r="M9" s="20">
        <v>0.4</v>
      </c>
      <c r="N9" s="20">
        <v>0.4</v>
      </c>
      <c r="O9" s="20">
        <v>0.4</v>
      </c>
      <c r="P9" s="20">
        <v>0.4</v>
      </c>
      <c r="Q9" s="20"/>
      <c r="R9" s="20"/>
    </row>
    <row r="11" spans="1:51" x14ac:dyDescent="0.35">
      <c r="A11" t="s">
        <v>15</v>
      </c>
      <c r="B11" s="7" t="s">
        <v>2</v>
      </c>
      <c r="D11" s="18" t="s">
        <v>19</v>
      </c>
      <c r="E11" t="s">
        <v>80</v>
      </c>
      <c r="F11" t="s">
        <v>36</v>
      </c>
      <c r="G11" t="s">
        <v>37</v>
      </c>
      <c r="H11" t="s">
        <v>38</v>
      </c>
      <c r="I11" t="s">
        <v>39</v>
      </c>
      <c r="J11" t="s">
        <v>40</v>
      </c>
      <c r="K11" t="s">
        <v>41</v>
      </c>
      <c r="L11" t="s">
        <v>42</v>
      </c>
      <c r="M11" t="s">
        <v>43</v>
      </c>
      <c r="N11" t="s">
        <v>44</v>
      </c>
      <c r="O11" t="s">
        <v>45</v>
      </c>
      <c r="P11" t="s">
        <v>46</v>
      </c>
      <c r="Q11" t="s">
        <v>47</v>
      </c>
      <c r="R11" t="s">
        <v>48</v>
      </c>
      <c r="S11" t="s">
        <v>49</v>
      </c>
      <c r="T11" t="s">
        <v>50</v>
      </c>
      <c r="U11" t="s">
        <v>51</v>
      </c>
      <c r="V11" t="s">
        <v>52</v>
      </c>
      <c r="W11" t="s">
        <v>53</v>
      </c>
      <c r="X11" t="s">
        <v>54</v>
      </c>
      <c r="Y11" t="s">
        <v>55</v>
      </c>
      <c r="Z11" t="s">
        <v>56</v>
      </c>
      <c r="AA11" t="s">
        <v>57</v>
      </c>
      <c r="AB11" t="s">
        <v>58</v>
      </c>
      <c r="AC11" t="s">
        <v>59</v>
      </c>
      <c r="AD11" t="s">
        <v>60</v>
      </c>
      <c r="AE11" t="s">
        <v>61</v>
      </c>
      <c r="AF11" t="s">
        <v>62</v>
      </c>
      <c r="AG11" t="s">
        <v>63</v>
      </c>
      <c r="AH11" t="s">
        <v>64</v>
      </c>
      <c r="AI11" t="s">
        <v>65</v>
      </c>
      <c r="AJ11" t="s">
        <v>66</v>
      </c>
      <c r="AK11" t="s">
        <v>67</v>
      </c>
      <c r="AL11" t="s">
        <v>68</v>
      </c>
      <c r="AM11" t="s">
        <v>69</v>
      </c>
      <c r="AN11" t="s">
        <v>70</v>
      </c>
      <c r="AO11" t="s">
        <v>71</v>
      </c>
      <c r="AP11" t="s">
        <v>72</v>
      </c>
      <c r="AQ11" t="s">
        <v>73</v>
      </c>
      <c r="AR11" t="s">
        <v>74</v>
      </c>
      <c r="AS11" t="s">
        <v>75</v>
      </c>
      <c r="AT11" t="s">
        <v>76</v>
      </c>
      <c r="AU11" t="s">
        <v>77</v>
      </c>
      <c r="AV11" t="s">
        <v>35</v>
      </c>
      <c r="AW11" t="s">
        <v>10</v>
      </c>
      <c r="AX11" t="s">
        <v>11</v>
      </c>
      <c r="AY11" t="s">
        <v>7</v>
      </c>
    </row>
    <row r="12" spans="1:51" x14ac:dyDescent="0.35">
      <c r="A12" s="8" t="s">
        <v>10</v>
      </c>
      <c r="B12" s="13">
        <v>0.65</v>
      </c>
      <c r="D12" s="5" t="s">
        <v>8</v>
      </c>
      <c r="E12" s="27">
        <v>5.4300000000000001E-2</v>
      </c>
      <c r="F12" s="27">
        <v>5.7799999999999997E-2</v>
      </c>
      <c r="G12" s="27">
        <v>6.3100000000000003E-2</v>
      </c>
      <c r="H12" s="27">
        <v>3.9899999999999998E-2</v>
      </c>
      <c r="I12" s="27">
        <v>6.9599999999999995E-2</v>
      </c>
      <c r="J12" s="27">
        <v>7.5499999999999998E-2</v>
      </c>
      <c r="K12" s="27">
        <v>7.0000000000000007E-2</v>
      </c>
      <c r="L12" s="27">
        <v>4.3799999999999999E-2</v>
      </c>
      <c r="M12" s="27">
        <v>4.8399999999999999E-2</v>
      </c>
      <c r="N12" s="27">
        <v>6.8099999999999994E-2</v>
      </c>
      <c r="O12" s="27">
        <v>6.1499999999999999E-2</v>
      </c>
      <c r="P12" s="27">
        <v>8.0100000000000005E-2</v>
      </c>
      <c r="Q12" s="27">
        <v>5.3499999999999999E-2</v>
      </c>
      <c r="R12" s="27">
        <v>6.1899999999999997E-2</v>
      </c>
      <c r="S12" s="27">
        <v>0.09</v>
      </c>
      <c r="T12" s="26">
        <v>0.06</v>
      </c>
      <c r="U12" s="27">
        <v>5.74E-2</v>
      </c>
      <c r="V12" s="27">
        <v>6.93E-2</v>
      </c>
      <c r="W12" s="27">
        <v>6.7900000000000002E-2</v>
      </c>
      <c r="X12" s="27">
        <v>5.3400000000000003E-2</v>
      </c>
      <c r="Y12" s="26">
        <v>5.96E-2</v>
      </c>
      <c r="Z12" s="27">
        <v>6.3899999999999998E-2</v>
      </c>
      <c r="AA12" s="27">
        <v>6.2E-2</v>
      </c>
      <c r="AB12" s="27">
        <v>7.6999999999999999E-2</v>
      </c>
      <c r="AC12" s="26">
        <v>6.0600000000000001E-2</v>
      </c>
      <c r="AD12" s="27">
        <v>5.5100000000000003E-2</v>
      </c>
      <c r="AE12" s="27">
        <v>6.4899999999999999E-2</v>
      </c>
      <c r="AF12" s="27">
        <v>0.05</v>
      </c>
      <c r="AG12" s="27">
        <v>5.67E-2</v>
      </c>
      <c r="AH12" s="26">
        <v>5.8099999999999999E-2</v>
      </c>
      <c r="AI12" s="27">
        <v>6.08E-2</v>
      </c>
      <c r="AJ12" s="27">
        <v>7.7399999999999997E-2</v>
      </c>
      <c r="AK12" s="27">
        <v>6.4500000000000002E-2</v>
      </c>
      <c r="AL12" s="27">
        <v>6.3299999999999995E-2</v>
      </c>
      <c r="AM12" s="27">
        <v>6.0600000000000001E-2</v>
      </c>
      <c r="AN12" s="27">
        <v>5.16E-2</v>
      </c>
      <c r="AO12" s="27">
        <v>7.0999999999999994E-2</v>
      </c>
      <c r="AP12" s="26">
        <v>6.0600000000000001E-2</v>
      </c>
      <c r="AQ12" s="27">
        <v>5.04E-2</v>
      </c>
      <c r="AR12" s="27">
        <v>5.3900000000000003E-2</v>
      </c>
      <c r="AS12" s="27">
        <v>5.0700000000000002E-2</v>
      </c>
      <c r="AT12" s="20">
        <v>5.5E-2</v>
      </c>
      <c r="AU12" s="20">
        <v>7.4999999999999997E-2</v>
      </c>
      <c r="AV12" s="20">
        <v>0.05</v>
      </c>
      <c r="AW12" s="20">
        <v>6.5000000000000002E-2</v>
      </c>
      <c r="AX12" s="20">
        <v>4.7500000000000001E-2</v>
      </c>
      <c r="AY12" s="20">
        <v>7.0000000000000007E-2</v>
      </c>
    </row>
    <row r="13" spans="1:51" ht="15" thickBot="1" x14ac:dyDescent="0.4">
      <c r="A13" s="14" t="s">
        <v>11</v>
      </c>
      <c r="B13" s="15">
        <v>0.15</v>
      </c>
      <c r="D13" s="23" t="s">
        <v>9</v>
      </c>
      <c r="E13" s="24">
        <v>7.6980170804919479E-2</v>
      </c>
      <c r="F13" s="24">
        <v>8.1780418217668432E-2</v>
      </c>
      <c r="G13" s="24">
        <v>8.6023415460579469E-2</v>
      </c>
      <c r="H13" s="24">
        <v>0.11653118385116663</v>
      </c>
      <c r="I13" s="24">
        <v>0.11021033343677064</v>
      </c>
      <c r="J13" s="24">
        <v>8.8068232209053215E-2</v>
      </c>
      <c r="K13" s="24">
        <v>0.12475025053877178</v>
      </c>
      <c r="L13" s="24">
        <v>0.15394219977869708</v>
      </c>
      <c r="M13" s="24">
        <v>8.4746770719000011E-2</v>
      </c>
      <c r="N13" s="24">
        <v>8.6596603181528897E-2</v>
      </c>
      <c r="O13" s="24">
        <v>9.4272395680693136E-2</v>
      </c>
      <c r="P13" s="24">
        <v>0.11548388474268149</v>
      </c>
      <c r="Q13" s="24">
        <v>9.610644880013916E-2</v>
      </c>
      <c r="R13" s="24">
        <v>0.10215258108748043</v>
      </c>
      <c r="S13" s="25">
        <v>0.156</v>
      </c>
      <c r="T13" s="25">
        <v>8.2398715378607684E-2</v>
      </c>
      <c r="U13" s="25">
        <v>8.7478000283872814E-2</v>
      </c>
      <c r="V13" s="25">
        <v>9.3586873328367695E-2</v>
      </c>
      <c r="W13" s="25">
        <v>9.2810955205827911E-2</v>
      </c>
      <c r="X13" s="25">
        <v>0.11070303306297358</v>
      </c>
      <c r="Y13" s="25">
        <v>0.11772390076191667</v>
      </c>
      <c r="Z13" s="25">
        <v>0.11665024393097376</v>
      </c>
      <c r="AA13" s="25">
        <v>9.5698234206376381E-2</v>
      </c>
      <c r="AB13" s="25">
        <v>8.9331835791137001E-2</v>
      </c>
      <c r="AC13" s="25">
        <v>8.3649943306495278E-2</v>
      </c>
      <c r="AD13" s="25">
        <v>8.6131541597633296E-2</v>
      </c>
      <c r="AE13" s="25">
        <v>9.3929489365508309E-2</v>
      </c>
      <c r="AF13" s="25">
        <v>0.10282255260779273</v>
      </c>
      <c r="AG13" s="25">
        <v>0.11633030783267537</v>
      </c>
      <c r="AH13" s="25">
        <v>0.15788166831496306</v>
      </c>
      <c r="AI13" s="25">
        <v>8.0370323766309065E-2</v>
      </c>
      <c r="AJ13" s="25">
        <v>0.105816717323024</v>
      </c>
      <c r="AK13" s="25">
        <v>8.1545524129348304E-2</v>
      </c>
      <c r="AL13" s="25">
        <v>7.7780661790793737E-2</v>
      </c>
      <c r="AM13" s="25">
        <v>8.4000000000000005E-2</v>
      </c>
      <c r="AN13" s="25">
        <v>0.10040289264668102</v>
      </c>
      <c r="AO13" s="25">
        <v>9.0024809882608997E-2</v>
      </c>
      <c r="AP13" s="25">
        <v>0.10284222433318371</v>
      </c>
      <c r="AQ13" s="25">
        <v>0.10632067058944049</v>
      </c>
      <c r="AR13" s="25">
        <v>9.137924111861935E-2</v>
      </c>
      <c r="AS13" s="25">
        <v>7.5584487720518456E-2</v>
      </c>
      <c r="AT13" s="25">
        <v>0.10808460635254026</v>
      </c>
      <c r="AU13" s="25">
        <v>0.14089918516462155</v>
      </c>
      <c r="AV13" s="25">
        <v>9.0037316020720654E-2</v>
      </c>
      <c r="AW13" s="25">
        <v>0.16050479246939783</v>
      </c>
      <c r="AX13" s="25">
        <v>4.4473996235008306E-2</v>
      </c>
      <c r="AY13" s="25">
        <v>0.2184471500548556</v>
      </c>
    </row>
    <row r="14" spans="1:51" x14ac:dyDescent="0.35">
      <c r="B14" s="6"/>
      <c r="D14" s="5" t="s">
        <v>21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/>
      <c r="AX14" s="20"/>
      <c r="AY14" s="20">
        <v>0</v>
      </c>
    </row>
    <row r="15" spans="1:51" ht="15" thickBot="1" x14ac:dyDescent="0.4">
      <c r="A15" s="16" t="s">
        <v>20</v>
      </c>
      <c r="B15" s="17">
        <f>1-SUM(tbl_Baseline_AssetClasses[Value])</f>
        <v>0.19999999999999996</v>
      </c>
      <c r="D15" s="23" t="s">
        <v>22</v>
      </c>
      <c r="E15" s="21">
        <v>0</v>
      </c>
      <c r="F15" s="21">
        <v>0.3</v>
      </c>
      <c r="G15" s="21">
        <v>0.3</v>
      </c>
      <c r="H15" s="21">
        <v>0.3</v>
      </c>
      <c r="I15" s="21">
        <v>0.3</v>
      </c>
      <c r="J15" s="21">
        <v>0.3</v>
      </c>
      <c r="K15" s="21">
        <v>0.3</v>
      </c>
      <c r="L15" s="21">
        <v>0.3</v>
      </c>
      <c r="M15" s="21">
        <v>0.3</v>
      </c>
      <c r="N15" s="21">
        <v>0.3</v>
      </c>
      <c r="O15" s="21">
        <v>0.3</v>
      </c>
      <c r="P15" s="21">
        <v>0.3</v>
      </c>
      <c r="Q15" s="21">
        <v>0.3</v>
      </c>
      <c r="R15" s="21">
        <v>0.3</v>
      </c>
      <c r="S15" s="21">
        <v>0.4</v>
      </c>
      <c r="T15" s="21">
        <v>0</v>
      </c>
      <c r="U15" s="21">
        <v>0.3</v>
      </c>
      <c r="V15" s="21">
        <v>0.3</v>
      </c>
      <c r="W15" s="21">
        <v>0.3</v>
      </c>
      <c r="X15" s="21">
        <v>0.3</v>
      </c>
      <c r="Y15" s="21">
        <v>0</v>
      </c>
      <c r="Z15" s="21">
        <v>0.3</v>
      </c>
      <c r="AA15" s="21">
        <v>0.3</v>
      </c>
      <c r="AB15" s="21">
        <v>0.3</v>
      </c>
      <c r="AC15" s="21">
        <v>0</v>
      </c>
      <c r="AD15" s="21">
        <v>0.3</v>
      </c>
      <c r="AE15" s="21">
        <v>0.3</v>
      </c>
      <c r="AF15" s="21">
        <v>0.3</v>
      </c>
      <c r="AG15" s="21">
        <v>0.3</v>
      </c>
      <c r="AH15" s="21">
        <v>0</v>
      </c>
      <c r="AI15" s="21">
        <v>0.3</v>
      </c>
      <c r="AJ15" s="21">
        <v>0.3</v>
      </c>
      <c r="AK15" s="21">
        <v>0.3</v>
      </c>
      <c r="AL15" s="21">
        <v>0.3</v>
      </c>
      <c r="AM15" s="21">
        <v>0.3</v>
      </c>
      <c r="AN15" s="21">
        <v>0.3</v>
      </c>
      <c r="AO15" s="21">
        <v>0.3</v>
      </c>
      <c r="AP15" s="21">
        <v>0</v>
      </c>
      <c r="AQ15" s="21">
        <v>0.3</v>
      </c>
      <c r="AR15" s="21">
        <v>0.3</v>
      </c>
      <c r="AS15" s="21">
        <v>0.3</v>
      </c>
      <c r="AT15" s="21">
        <v>0</v>
      </c>
      <c r="AU15" s="21">
        <v>0.3</v>
      </c>
      <c r="AV15" s="21">
        <v>0</v>
      </c>
      <c r="AW15" s="21"/>
      <c r="AX15" s="21"/>
      <c r="AY15" s="21">
        <v>0.3</v>
      </c>
    </row>
    <row r="16" spans="1:51" x14ac:dyDescent="0.35">
      <c r="B16" s="3"/>
      <c r="D16" s="5" t="s">
        <v>17</v>
      </c>
      <c r="E16" t="s">
        <v>23</v>
      </c>
      <c r="F16" t="s">
        <v>23</v>
      </c>
      <c r="G16" t="s">
        <v>23</v>
      </c>
      <c r="H16" t="s">
        <v>23</v>
      </c>
      <c r="I16" t="s">
        <v>23</v>
      </c>
      <c r="J16" t="s">
        <v>23</v>
      </c>
      <c r="K16" t="s">
        <v>23</v>
      </c>
      <c r="L16" t="s">
        <v>23</v>
      </c>
      <c r="M16" t="s">
        <v>23</v>
      </c>
      <c r="N16" t="s">
        <v>23</v>
      </c>
      <c r="O16" t="s">
        <v>23</v>
      </c>
      <c r="P16" t="s">
        <v>23</v>
      </c>
      <c r="Q16" t="s">
        <v>23</v>
      </c>
      <c r="R16" t="s">
        <v>23</v>
      </c>
      <c r="S16" t="s">
        <v>34</v>
      </c>
      <c r="T16" t="s">
        <v>13</v>
      </c>
      <c r="U16" t="s">
        <v>13</v>
      </c>
      <c r="V16" t="s">
        <v>13</v>
      </c>
      <c r="W16" t="s">
        <v>13</v>
      </c>
      <c r="X16" t="s">
        <v>13</v>
      </c>
      <c r="Y16" t="s">
        <v>13</v>
      </c>
      <c r="Z16" t="s">
        <v>13</v>
      </c>
      <c r="AA16" t="s">
        <v>13</v>
      </c>
      <c r="AB16" t="s">
        <v>13</v>
      </c>
      <c r="AC16" t="s">
        <v>24</v>
      </c>
      <c r="AD16" t="s">
        <v>24</v>
      </c>
      <c r="AE16" t="s">
        <v>24</v>
      </c>
      <c r="AF16" t="s">
        <v>24</v>
      </c>
      <c r="AG16" t="s">
        <v>24</v>
      </c>
      <c r="AH16" t="s">
        <v>24</v>
      </c>
      <c r="AI16" t="s">
        <v>24</v>
      </c>
      <c r="AJ16" t="s">
        <v>24</v>
      </c>
      <c r="AK16" t="s">
        <v>24</v>
      </c>
      <c r="AL16" t="s">
        <v>24</v>
      </c>
      <c r="AM16" t="s">
        <v>14</v>
      </c>
      <c r="AN16" t="s">
        <v>14</v>
      </c>
      <c r="AO16" t="s">
        <v>14</v>
      </c>
      <c r="AP16" t="s">
        <v>14</v>
      </c>
      <c r="AQ16" t="s">
        <v>14</v>
      </c>
      <c r="AR16" t="s">
        <v>14</v>
      </c>
      <c r="AS16" t="s">
        <v>14</v>
      </c>
      <c r="AT16" t="s">
        <v>34</v>
      </c>
      <c r="AU16" t="s">
        <v>34</v>
      </c>
      <c r="AV16" t="s">
        <v>34</v>
      </c>
      <c r="AW16" t="s">
        <v>34</v>
      </c>
      <c r="AX16" t="s">
        <v>34</v>
      </c>
      <c r="AY16" t="s">
        <v>34</v>
      </c>
    </row>
    <row r="17" spans="2:51" ht="15" thickBot="1" x14ac:dyDescent="0.4">
      <c r="B17" s="3"/>
      <c r="D17" s="23" t="s">
        <v>18</v>
      </c>
      <c r="E17" s="22" t="s">
        <v>78</v>
      </c>
      <c r="F17" s="22" t="s">
        <v>29</v>
      </c>
      <c r="G17" s="22" t="s">
        <v>28</v>
      </c>
      <c r="H17" s="22" t="s">
        <v>30</v>
      </c>
      <c r="I17" s="22" t="s">
        <v>31</v>
      </c>
      <c r="J17" s="22" t="s">
        <v>33</v>
      </c>
      <c r="K17" s="22" t="s">
        <v>25</v>
      </c>
      <c r="L17" s="22" t="s">
        <v>25</v>
      </c>
      <c r="M17" s="22" t="s">
        <v>29</v>
      </c>
      <c r="N17" s="22" t="s">
        <v>25</v>
      </c>
      <c r="O17" s="22" t="s">
        <v>29</v>
      </c>
      <c r="P17" s="22" t="s">
        <v>29</v>
      </c>
      <c r="Q17" s="22" t="s">
        <v>32</v>
      </c>
      <c r="R17" s="22" t="s">
        <v>29</v>
      </c>
      <c r="S17" s="22" t="s">
        <v>78</v>
      </c>
      <c r="T17" s="22" t="s">
        <v>78</v>
      </c>
      <c r="U17" s="20" t="s">
        <v>29</v>
      </c>
      <c r="V17" s="20" t="s">
        <v>28</v>
      </c>
      <c r="W17" s="20" t="s">
        <v>31</v>
      </c>
      <c r="X17" t="s">
        <v>30</v>
      </c>
      <c r="Y17" t="s">
        <v>25</v>
      </c>
      <c r="Z17" t="s">
        <v>29</v>
      </c>
      <c r="AA17" t="s">
        <v>25</v>
      </c>
      <c r="AB17" t="s">
        <v>33</v>
      </c>
      <c r="AC17" t="s">
        <v>78</v>
      </c>
      <c r="AD17" t="s">
        <v>29</v>
      </c>
      <c r="AE17" t="s">
        <v>28</v>
      </c>
      <c r="AF17" t="s">
        <v>30</v>
      </c>
      <c r="AG17" t="s">
        <v>31</v>
      </c>
      <c r="AH17" t="s">
        <v>25</v>
      </c>
      <c r="AI17" t="s">
        <v>25</v>
      </c>
      <c r="AJ17" t="s">
        <v>33</v>
      </c>
      <c r="AK17" t="s">
        <v>32</v>
      </c>
      <c r="AL17" t="s">
        <v>29</v>
      </c>
      <c r="AM17" t="s">
        <v>31</v>
      </c>
      <c r="AN17" t="s">
        <v>30</v>
      </c>
      <c r="AO17" t="s">
        <v>28</v>
      </c>
      <c r="AP17" t="s">
        <v>25</v>
      </c>
      <c r="AQ17" t="s">
        <v>30</v>
      </c>
      <c r="AR17" t="s">
        <v>28</v>
      </c>
      <c r="AS17" t="s">
        <v>29</v>
      </c>
      <c r="AT17" t="s">
        <v>27</v>
      </c>
      <c r="AU17" t="s">
        <v>6</v>
      </c>
      <c r="AV17" t="s">
        <v>26</v>
      </c>
      <c r="AW17" t="s">
        <v>78</v>
      </c>
      <c r="AX17" t="s">
        <v>78</v>
      </c>
      <c r="AY17" t="s">
        <v>78</v>
      </c>
    </row>
    <row r="18" spans="2:51" ht="13.5" customHeight="1" x14ac:dyDescent="0.35">
      <c r="D18" s="19" t="s">
        <v>15</v>
      </c>
      <c r="E18" t="str">
        <f>IF(ISNUMBER(MATCH(E11,tbl_Baseline_AssetClasses[Baseline Asset Class],0)),"Yes","")</f>
        <v/>
      </c>
      <c r="F18" t="str">
        <f>IF(ISNUMBER(MATCH(F11,tbl_Baseline_AssetClasses[Baseline Asset Class],0)),"Yes","")</f>
        <v/>
      </c>
      <c r="G18" t="str">
        <f>IF(ISNUMBER(MATCH(G11,tbl_Baseline_AssetClasses[Baseline Asset Class],0)),"Yes","")</f>
        <v/>
      </c>
      <c r="H18" t="str">
        <f>IF(ISNUMBER(MATCH(H11,tbl_Baseline_AssetClasses[Baseline Asset Class],0)),"Yes","")</f>
        <v/>
      </c>
      <c r="I18" t="str">
        <f>IF(ISNUMBER(MATCH(I11,tbl_Baseline_AssetClasses[Baseline Asset Class],0)),"Yes","")</f>
        <v/>
      </c>
      <c r="J18" t="str">
        <f>IF(ISNUMBER(MATCH(J11,tbl_Baseline_AssetClasses[Baseline Asset Class],0)),"Yes","")</f>
        <v/>
      </c>
      <c r="K18" t="str">
        <f>IF(ISNUMBER(MATCH(K11,tbl_Baseline_AssetClasses[Baseline Asset Class],0)),"Yes","")</f>
        <v/>
      </c>
      <c r="L18" t="str">
        <f>IF(ISNUMBER(MATCH(L11,tbl_Baseline_AssetClasses[Baseline Asset Class],0)),"Yes","")</f>
        <v/>
      </c>
      <c r="M18" t="str">
        <f>IF(ISNUMBER(MATCH(M11,tbl_Baseline_AssetClasses[Baseline Asset Class],0)),"Yes","")</f>
        <v/>
      </c>
      <c r="N18" t="str">
        <f>IF(ISNUMBER(MATCH(N11,tbl_Baseline_AssetClasses[Baseline Asset Class],0)),"Yes","")</f>
        <v/>
      </c>
      <c r="O18" t="str">
        <f>IF(ISNUMBER(MATCH(O11,tbl_Baseline_AssetClasses[Baseline Asset Class],0)),"Yes","")</f>
        <v/>
      </c>
      <c r="P18" t="str">
        <f>IF(ISNUMBER(MATCH(P11,tbl_Baseline_AssetClasses[Baseline Asset Class],0)),"Yes","")</f>
        <v/>
      </c>
      <c r="Q18" t="str">
        <f>IF(ISNUMBER(MATCH(Q11,tbl_Baseline_AssetClasses[Baseline Asset Class],0)),"Yes","")</f>
        <v/>
      </c>
      <c r="R18" t="str">
        <f>IF(ISNUMBER(MATCH(R11,tbl_Baseline_AssetClasses[Baseline Asset Class],0)),"Yes","")</f>
        <v/>
      </c>
      <c r="S18" s="20" t="str">
        <f>IF(ISNUMBER(MATCH(#REF!,tbl_Baseline_AssetClasses[Baseline Asset Class],0)),"Yes","")</f>
        <v/>
      </c>
      <c r="T18" s="20" t="str">
        <f>IF(ISNUMBER(MATCH(S11,tbl_Baseline_AssetClasses[Baseline Asset Class],0)),"Yes","")</f>
        <v/>
      </c>
      <c r="U18" s="20"/>
      <c r="V18" s="20"/>
      <c r="W18" s="20"/>
    </row>
    <row r="20" spans="2:51" x14ac:dyDescent="0.35">
      <c r="D20" t="s">
        <v>79</v>
      </c>
      <c r="E20" t="s">
        <v>80</v>
      </c>
      <c r="F20" t="s">
        <v>36</v>
      </c>
      <c r="G20" t="s">
        <v>37</v>
      </c>
      <c r="H20" t="s">
        <v>38</v>
      </c>
      <c r="I20" t="s">
        <v>39</v>
      </c>
      <c r="J20" t="s">
        <v>40</v>
      </c>
      <c r="K20" t="s">
        <v>41</v>
      </c>
      <c r="L20" t="s">
        <v>42</v>
      </c>
      <c r="M20" t="s">
        <v>43</v>
      </c>
      <c r="N20" t="s">
        <v>44</v>
      </c>
      <c r="O20" t="s">
        <v>45</v>
      </c>
      <c r="P20" t="s">
        <v>46</v>
      </c>
      <c r="Q20" t="s">
        <v>47</v>
      </c>
      <c r="R20" t="s">
        <v>48</v>
      </c>
      <c r="S20" t="s">
        <v>49</v>
      </c>
      <c r="T20" t="s">
        <v>50</v>
      </c>
      <c r="U20" t="s">
        <v>51</v>
      </c>
      <c r="V20" t="s">
        <v>52</v>
      </c>
      <c r="W20" t="s">
        <v>53</v>
      </c>
      <c r="X20" t="s">
        <v>54</v>
      </c>
      <c r="Y20" t="s">
        <v>55</v>
      </c>
      <c r="Z20" t="s">
        <v>56</v>
      </c>
      <c r="AA20" t="s">
        <v>57</v>
      </c>
      <c r="AB20" t="s">
        <v>58</v>
      </c>
      <c r="AC20" t="s">
        <v>59</v>
      </c>
      <c r="AD20" t="s">
        <v>60</v>
      </c>
      <c r="AE20" t="s">
        <v>61</v>
      </c>
      <c r="AF20" t="s">
        <v>62</v>
      </c>
      <c r="AG20" t="s">
        <v>63</v>
      </c>
      <c r="AH20" t="s">
        <v>64</v>
      </c>
      <c r="AI20" t="s">
        <v>65</v>
      </c>
      <c r="AJ20" t="s">
        <v>66</v>
      </c>
      <c r="AK20" t="s">
        <v>67</v>
      </c>
      <c r="AL20" t="s">
        <v>68</v>
      </c>
      <c r="AM20" t="s">
        <v>69</v>
      </c>
      <c r="AN20" t="s">
        <v>70</v>
      </c>
      <c r="AO20" t="s">
        <v>71</v>
      </c>
      <c r="AP20" t="s">
        <v>72</v>
      </c>
      <c r="AQ20" t="s">
        <v>73</v>
      </c>
      <c r="AR20" t="s">
        <v>74</v>
      </c>
      <c r="AS20" t="s">
        <v>75</v>
      </c>
      <c r="AT20" t="s">
        <v>76</v>
      </c>
      <c r="AU20" t="s">
        <v>77</v>
      </c>
      <c r="AV20" t="s">
        <v>35</v>
      </c>
      <c r="AW20" t="s">
        <v>10</v>
      </c>
      <c r="AX20" t="s">
        <v>11</v>
      </c>
      <c r="AY20" t="s">
        <v>7</v>
      </c>
    </row>
    <row r="21" spans="2:51" x14ac:dyDescent="0.35">
      <c r="D21" t="s">
        <v>80</v>
      </c>
      <c r="E21" s="1">
        <v>1</v>
      </c>
      <c r="F21" s="1">
        <v>0.95466817466206333</v>
      </c>
      <c r="G21" s="1">
        <v>0.90022093472781017</v>
      </c>
      <c r="H21" s="1">
        <v>0.91673627576957539</v>
      </c>
      <c r="I21" s="1">
        <v>0.82411947237317196</v>
      </c>
      <c r="J21" s="1">
        <v>0.72859527350541764</v>
      </c>
      <c r="K21" s="1">
        <v>0.61578799508370818</v>
      </c>
      <c r="L21" s="1">
        <v>0.60801792461446758</v>
      </c>
      <c r="M21" s="1">
        <v>0.6660760842723179</v>
      </c>
      <c r="N21" s="1">
        <v>0.56953042973766199</v>
      </c>
      <c r="O21" s="1">
        <v>0.7875799677729568</v>
      </c>
      <c r="P21" s="1">
        <v>0.41065141366300867</v>
      </c>
      <c r="Q21" s="1">
        <v>0.70336426865194202</v>
      </c>
      <c r="R21" s="1">
        <v>0.2607342916271661</v>
      </c>
      <c r="S21" s="1">
        <v>0.6866480179002884</v>
      </c>
      <c r="T21" s="1">
        <v>0.69511716368160426</v>
      </c>
      <c r="U21" s="1">
        <v>0.40927509162549675</v>
      </c>
      <c r="V21" s="1">
        <v>0.64793353010446053</v>
      </c>
      <c r="W21" s="1">
        <v>0.64181116115788728</v>
      </c>
      <c r="X21" s="1">
        <v>0.68949407954034958</v>
      </c>
      <c r="Y21" s="1">
        <v>0.60942034292124547</v>
      </c>
      <c r="Z21" s="1">
        <v>0.44065498636858896</v>
      </c>
      <c r="AA21" s="1">
        <v>0.53696005029468852</v>
      </c>
      <c r="AB21" s="1">
        <v>0.61368850688901422</v>
      </c>
      <c r="AC21" s="1">
        <v>0.74140417887899468</v>
      </c>
      <c r="AD21" s="1">
        <v>0.65039303228907674</v>
      </c>
      <c r="AE21" s="1">
        <v>0.51537442902695296</v>
      </c>
      <c r="AF21" s="1">
        <v>0.61288718122571439</v>
      </c>
      <c r="AG21" s="1">
        <v>0.61147489978189018</v>
      </c>
      <c r="AH21" s="1">
        <v>0.440763211655122</v>
      </c>
      <c r="AI21" s="1">
        <v>0.29958170789341837</v>
      </c>
      <c r="AJ21" s="1">
        <v>0.49671875459406567</v>
      </c>
      <c r="AK21" s="1">
        <v>0.81002744975047702</v>
      </c>
      <c r="AL21" s="1">
        <v>0.5367993129671198</v>
      </c>
      <c r="AM21" s="1">
        <v>0.44807541523401756</v>
      </c>
      <c r="AN21" s="1">
        <v>0.50222468209290139</v>
      </c>
      <c r="AO21" s="1">
        <v>0.37966891729647578</v>
      </c>
      <c r="AP21" s="1">
        <v>0.25384428863299352</v>
      </c>
      <c r="AQ21" s="1">
        <v>0.27230412059302211</v>
      </c>
      <c r="AR21" s="1">
        <v>0.15346118357111574</v>
      </c>
      <c r="AS21" s="1">
        <v>0.20681707674297525</v>
      </c>
      <c r="AT21" s="1">
        <v>9.9619736616439095E-2</v>
      </c>
      <c r="AU21" s="1">
        <v>-1.4927806308047587E-2</v>
      </c>
      <c r="AV21" s="1">
        <v>9.6125389439918413E-2</v>
      </c>
      <c r="AW21" s="1">
        <v>0.24937003759268134</v>
      </c>
      <c r="AX21" s="1">
        <v>-0.23547066370840838</v>
      </c>
      <c r="AY21" s="1">
        <v>0.35078667209626768</v>
      </c>
    </row>
    <row r="22" spans="2:51" x14ac:dyDescent="0.35">
      <c r="D22" t="s">
        <v>36</v>
      </c>
      <c r="E22" s="1">
        <v>0.95466817466206333</v>
      </c>
      <c r="F22" s="1">
        <v>1</v>
      </c>
      <c r="G22" s="1">
        <v>0.85267208045062581</v>
      </c>
      <c r="H22" s="1">
        <v>0.83174274223095512</v>
      </c>
      <c r="I22" s="1">
        <v>0.74290690965750106</v>
      </c>
      <c r="J22" s="1">
        <v>0.67613115521584466</v>
      </c>
      <c r="K22" s="1">
        <v>0.56292749561932676</v>
      </c>
      <c r="L22" s="1">
        <v>0.54748053043460476</v>
      </c>
      <c r="M22" s="1">
        <v>0.75182997456131384</v>
      </c>
      <c r="N22" s="1">
        <v>0.47979319637220269</v>
      </c>
      <c r="O22" s="1">
        <v>0.78268494685998258</v>
      </c>
      <c r="P22" s="1">
        <v>0.37253689786564004</v>
      </c>
      <c r="Q22" s="1">
        <v>0.68542397654969833</v>
      </c>
      <c r="R22" s="1">
        <v>0.1966736256507832</v>
      </c>
      <c r="S22" s="1">
        <v>0.63522185229406747</v>
      </c>
      <c r="T22" s="1">
        <v>0.6745897758828453</v>
      </c>
      <c r="U22" s="1">
        <v>0.40314111829836158</v>
      </c>
      <c r="V22" s="1">
        <v>0.61496414806145439</v>
      </c>
      <c r="W22" s="1">
        <v>0.64044960092885017</v>
      </c>
      <c r="X22" s="1">
        <v>0.6564153527707064</v>
      </c>
      <c r="Y22" s="1">
        <v>0.5846112102369917</v>
      </c>
      <c r="Z22" s="1">
        <v>0.41291788436951488</v>
      </c>
      <c r="AA22" s="1">
        <v>0.52738888796601957</v>
      </c>
      <c r="AB22" s="1">
        <v>0.59051789148598943</v>
      </c>
      <c r="AC22" s="1">
        <v>0.6641827717845088</v>
      </c>
      <c r="AD22" s="1">
        <v>0.58176240674482849</v>
      </c>
      <c r="AE22" s="1">
        <v>0.44311370640289044</v>
      </c>
      <c r="AF22" s="1">
        <v>0.5338787934118896</v>
      </c>
      <c r="AG22" s="1">
        <v>0.5474305230400357</v>
      </c>
      <c r="AH22" s="1">
        <v>0.40423290618564389</v>
      </c>
      <c r="AI22" s="1">
        <v>0.25656464372203097</v>
      </c>
      <c r="AJ22" s="1">
        <v>0.43158215641034209</v>
      </c>
      <c r="AK22" s="1">
        <v>0.76550172819897377</v>
      </c>
      <c r="AL22" s="1">
        <v>0.45211153174905239</v>
      </c>
      <c r="AM22" s="1">
        <v>0.36876045351436199</v>
      </c>
      <c r="AN22" s="1">
        <v>0.40257951523144936</v>
      </c>
      <c r="AO22" s="1">
        <v>0.3644847551147033</v>
      </c>
      <c r="AP22" s="1">
        <v>0.20070539694341102</v>
      </c>
      <c r="AQ22" s="1">
        <v>0.2136569253233136</v>
      </c>
      <c r="AR22" s="1">
        <v>0.10114113401446918</v>
      </c>
      <c r="AS22" s="1">
        <v>0.1255478428718097</v>
      </c>
      <c r="AT22" s="1">
        <v>9.2692103218768071E-2</v>
      </c>
      <c r="AU22" s="1">
        <v>6.2824928232493735E-2</v>
      </c>
      <c r="AV22" s="1">
        <v>6.8802446633992112E-2</v>
      </c>
      <c r="AW22" s="1">
        <v>0.23749311694286426</v>
      </c>
      <c r="AX22" s="1">
        <v>-0.25065816660261425</v>
      </c>
      <c r="AY22" s="1">
        <v>0.37283468027155092</v>
      </c>
    </row>
    <row r="23" spans="2:51" x14ac:dyDescent="0.35">
      <c r="D23" t="s">
        <v>37</v>
      </c>
      <c r="E23" s="1">
        <v>0.90022093472781017</v>
      </c>
      <c r="F23" s="1">
        <v>0.85267208045062581</v>
      </c>
      <c r="G23" s="1">
        <v>1</v>
      </c>
      <c r="H23" s="1">
        <v>0.72988533555008839</v>
      </c>
      <c r="I23" s="1">
        <v>0.6100895014856802</v>
      </c>
      <c r="J23" s="1">
        <v>0.70131156519599591</v>
      </c>
      <c r="K23" s="1">
        <v>0.49458324385553454</v>
      </c>
      <c r="L23" s="1">
        <v>0.5395099468575969</v>
      </c>
      <c r="M23" s="1">
        <v>0.58141225297637977</v>
      </c>
      <c r="N23" s="1">
        <v>0.48082568563833306</v>
      </c>
      <c r="O23" s="1">
        <v>0.7536492558765806</v>
      </c>
      <c r="P23" s="1">
        <v>0.24964936262154055</v>
      </c>
      <c r="Q23" s="1">
        <v>0.69726974969028543</v>
      </c>
      <c r="R23" s="1">
        <v>0.29302120546109772</v>
      </c>
      <c r="S23" s="1">
        <v>0.58231832065165645</v>
      </c>
      <c r="T23" s="1">
        <v>0.65008986255779355</v>
      </c>
      <c r="U23" s="1">
        <v>0.30824461896072947</v>
      </c>
      <c r="V23" s="1">
        <v>0.71288135639564654</v>
      </c>
      <c r="W23" s="1">
        <v>0.55168109244898977</v>
      </c>
      <c r="X23" s="1">
        <v>0.57620557743012746</v>
      </c>
      <c r="Y23" s="1">
        <v>0.5304989857607979</v>
      </c>
      <c r="Z23" s="1">
        <v>0.36110800970774082</v>
      </c>
      <c r="AA23" s="1">
        <v>0.49780386329623161</v>
      </c>
      <c r="AB23" s="1">
        <v>0.67707790259996381</v>
      </c>
      <c r="AC23" s="1">
        <v>0.72920838032348778</v>
      </c>
      <c r="AD23" s="1">
        <v>0.6614652704186702</v>
      </c>
      <c r="AE23" s="1">
        <v>0.58078021446152328</v>
      </c>
      <c r="AF23" s="1">
        <v>0.57243922408181014</v>
      </c>
      <c r="AG23" s="1">
        <v>0.54644958953720102</v>
      </c>
      <c r="AH23" s="1">
        <v>0.38148036845285566</v>
      </c>
      <c r="AI23" s="1">
        <v>0.30392831401589582</v>
      </c>
      <c r="AJ23" s="1">
        <v>0.55785928801223617</v>
      </c>
      <c r="AK23" s="1">
        <v>0.80339939561818496</v>
      </c>
      <c r="AL23" s="1">
        <v>0.55624746698008776</v>
      </c>
      <c r="AM23" s="1">
        <v>0.32853150293565159</v>
      </c>
      <c r="AN23" s="1">
        <v>0.41670134578389934</v>
      </c>
      <c r="AO23" s="1">
        <v>0.44613190860956231</v>
      </c>
      <c r="AP23" s="1">
        <v>9.3000406355793458E-2</v>
      </c>
      <c r="AQ23" s="1">
        <v>0.19553916312388117</v>
      </c>
      <c r="AR23" s="1">
        <v>0.11001302844455348</v>
      </c>
      <c r="AS23" s="1">
        <v>0.19286728046662927</v>
      </c>
      <c r="AT23" s="1">
        <v>3.862257968064816E-2</v>
      </c>
      <c r="AU23" s="1">
        <v>3.8648734405178201E-2</v>
      </c>
      <c r="AV23" s="1">
        <v>9.3161533145304412E-2</v>
      </c>
      <c r="AW23" s="1">
        <v>0.26793076653651793</v>
      </c>
      <c r="AX23" s="1">
        <v>-0.31947361014263259</v>
      </c>
      <c r="AY23" s="1">
        <v>0.31077350613830579</v>
      </c>
    </row>
    <row r="24" spans="2:51" x14ac:dyDescent="0.35">
      <c r="D24" t="s">
        <v>38</v>
      </c>
      <c r="E24" s="1">
        <v>0.91673627576957539</v>
      </c>
      <c r="F24" s="1">
        <v>0.83174274223095512</v>
      </c>
      <c r="G24" s="1">
        <v>0.72988533555008839</v>
      </c>
      <c r="H24" s="1">
        <v>1</v>
      </c>
      <c r="I24" s="1">
        <v>0.73495919652790764</v>
      </c>
      <c r="J24" s="1">
        <v>0.66748285671432483</v>
      </c>
      <c r="K24" s="1">
        <v>0.54557028911595151</v>
      </c>
      <c r="L24" s="1">
        <v>0.67005493715281228</v>
      </c>
      <c r="M24" s="1">
        <v>0.52462446117330686</v>
      </c>
      <c r="N24" s="1">
        <v>0.62988375036066679</v>
      </c>
      <c r="O24" s="1">
        <v>0.65971829965885875</v>
      </c>
      <c r="P24" s="1">
        <v>0.44895950693504505</v>
      </c>
      <c r="Q24" s="1">
        <v>0.61694659344572755</v>
      </c>
      <c r="R24" s="1">
        <v>0.20229775961989069</v>
      </c>
      <c r="S24" s="1">
        <v>0.66100937580055297</v>
      </c>
      <c r="T24" s="1">
        <v>0.60633439501721054</v>
      </c>
      <c r="U24" s="1">
        <v>0.39233728631634063</v>
      </c>
      <c r="V24" s="1">
        <v>0.51031884437457264</v>
      </c>
      <c r="W24" s="1">
        <v>0.54627033129308578</v>
      </c>
      <c r="X24" s="1">
        <v>0.68881312638831216</v>
      </c>
      <c r="Y24" s="1">
        <v>0.55165746301098462</v>
      </c>
      <c r="Z24" s="1">
        <v>0.43049671018302993</v>
      </c>
      <c r="AA24" s="1">
        <v>0.4955139439650767</v>
      </c>
      <c r="AB24" s="1">
        <v>0.47837977166706747</v>
      </c>
      <c r="AC24" s="1">
        <v>0.64594139555156571</v>
      </c>
      <c r="AD24" s="1">
        <v>0.57484203163110426</v>
      </c>
      <c r="AE24" s="1">
        <v>0.40426855788177818</v>
      </c>
      <c r="AF24" s="1">
        <v>0.55681121566172875</v>
      </c>
      <c r="AG24" s="1">
        <v>0.50830497827806642</v>
      </c>
      <c r="AH24" s="1">
        <v>0.37636319604577745</v>
      </c>
      <c r="AI24" s="1">
        <v>0.24798918803079573</v>
      </c>
      <c r="AJ24" s="1">
        <v>0.38900765788896496</v>
      </c>
      <c r="AK24" s="1">
        <v>0.70608823364056428</v>
      </c>
      <c r="AL24" s="1">
        <v>0.44804434170144858</v>
      </c>
      <c r="AM24" s="1">
        <v>0.42760298922330942</v>
      </c>
      <c r="AN24" s="1">
        <v>0.59703908587915855</v>
      </c>
      <c r="AO24" s="1">
        <v>0.3453809237081979</v>
      </c>
      <c r="AP24" s="1">
        <v>0.37750791422009228</v>
      </c>
      <c r="AQ24" s="1">
        <v>0.30107161859437198</v>
      </c>
      <c r="AR24" s="1">
        <v>0.19365538937079205</v>
      </c>
      <c r="AS24" s="1">
        <v>0.21396061686306109</v>
      </c>
      <c r="AT24" s="1">
        <v>8.564649566330898E-2</v>
      </c>
      <c r="AU24" s="1">
        <v>-7.7823561215614206E-2</v>
      </c>
      <c r="AV24" s="1">
        <v>8.4572641202748683E-2</v>
      </c>
      <c r="AW24" s="1">
        <v>0.16915104577337073</v>
      </c>
      <c r="AX24" s="1">
        <v>-0.11797849714528041</v>
      </c>
      <c r="AY24" s="1">
        <v>0.29544830464613953</v>
      </c>
    </row>
    <row r="25" spans="2:51" x14ac:dyDescent="0.35">
      <c r="D25" t="s">
        <v>39</v>
      </c>
      <c r="E25" s="1">
        <v>0.82411947237317196</v>
      </c>
      <c r="F25" s="1">
        <v>0.74290690965750106</v>
      </c>
      <c r="G25" s="1">
        <v>0.6100895014856802</v>
      </c>
      <c r="H25" s="1">
        <v>0.73495919652790764</v>
      </c>
      <c r="I25" s="1">
        <v>1</v>
      </c>
      <c r="J25" s="1">
        <v>0.5989289587429697</v>
      </c>
      <c r="K25" s="1">
        <v>0.66431663988465373</v>
      </c>
      <c r="L25" s="1">
        <v>0.38774067248143118</v>
      </c>
      <c r="M25" s="1">
        <v>0.55891979094560473</v>
      </c>
      <c r="N25" s="1">
        <v>0.42988010927796028</v>
      </c>
      <c r="O25" s="1">
        <v>0.61457781583118531</v>
      </c>
      <c r="P25" s="1">
        <v>0.44603394525732032</v>
      </c>
      <c r="Q25" s="1">
        <v>0.51675607706911242</v>
      </c>
      <c r="R25" s="1">
        <v>0.25704630120738214</v>
      </c>
      <c r="S25" s="1">
        <v>0.61022549721680985</v>
      </c>
      <c r="T25" s="1">
        <v>0.54803270278333593</v>
      </c>
      <c r="U25" s="1">
        <v>0.41703858929533882</v>
      </c>
      <c r="V25" s="1">
        <v>0.43957781961719761</v>
      </c>
      <c r="W25" s="1">
        <v>0.56882470135536756</v>
      </c>
      <c r="X25" s="1">
        <v>0.5565325612629145</v>
      </c>
      <c r="Y25" s="1">
        <v>0.51895879729258776</v>
      </c>
      <c r="Z25" s="1">
        <v>0.40929529207424603</v>
      </c>
      <c r="AA25" s="1">
        <v>0.37785976954757888</v>
      </c>
      <c r="AB25" s="1">
        <v>0.42080051482694741</v>
      </c>
      <c r="AC25" s="1">
        <v>0.59296101881347019</v>
      </c>
      <c r="AD25" s="1">
        <v>0.50070890240138088</v>
      </c>
      <c r="AE25" s="1">
        <v>0.37200314048568461</v>
      </c>
      <c r="AF25" s="1">
        <v>0.52303196474984504</v>
      </c>
      <c r="AG25" s="1">
        <v>0.60392948391882473</v>
      </c>
      <c r="AH25" s="1">
        <v>0.42358906265038487</v>
      </c>
      <c r="AI25" s="1">
        <v>0.21139449601610782</v>
      </c>
      <c r="AJ25" s="1">
        <v>0.36537671462205912</v>
      </c>
      <c r="AK25" s="1">
        <v>0.61334330968935746</v>
      </c>
      <c r="AL25" s="1">
        <v>0.46692132687241722</v>
      </c>
      <c r="AM25" s="1">
        <v>0.54111266886526699</v>
      </c>
      <c r="AN25" s="1">
        <v>0.39383691080343414</v>
      </c>
      <c r="AO25" s="1">
        <v>0.19430547858351613</v>
      </c>
      <c r="AP25" s="1">
        <v>0.26501692024380274</v>
      </c>
      <c r="AQ25" s="1">
        <v>0.26152479898830439</v>
      </c>
      <c r="AR25" s="1">
        <v>0.13153502372036821</v>
      </c>
      <c r="AS25" s="1">
        <v>0.23016843215054655</v>
      </c>
      <c r="AT25" s="1">
        <v>0.20814123259417147</v>
      </c>
      <c r="AU25" s="1">
        <v>-8.7960446499091446E-2</v>
      </c>
      <c r="AV25" s="1">
        <v>0.11296074676445146</v>
      </c>
      <c r="AW25" s="1">
        <v>0.2291155358396921</v>
      </c>
      <c r="AX25" s="1">
        <v>-0.13364445400499322</v>
      </c>
      <c r="AY25" s="1">
        <v>0.28544629330672017</v>
      </c>
    </row>
    <row r="26" spans="2:51" x14ac:dyDescent="0.35">
      <c r="D26" t="s">
        <v>40</v>
      </c>
      <c r="E26" s="1">
        <v>0.72859527350541764</v>
      </c>
      <c r="F26" s="1">
        <v>0.67613115521584466</v>
      </c>
      <c r="G26" s="1">
        <v>0.70131156519599591</v>
      </c>
      <c r="H26" s="1">
        <v>0.66748285671432483</v>
      </c>
      <c r="I26" s="1">
        <v>0.5989289587429697</v>
      </c>
      <c r="J26" s="1">
        <v>1</v>
      </c>
      <c r="K26" s="1">
        <v>0.45505702584522634</v>
      </c>
      <c r="L26" s="1">
        <v>0.44662509386338567</v>
      </c>
      <c r="M26" s="1">
        <v>0.52092499920976942</v>
      </c>
      <c r="N26" s="1">
        <v>0.45953447878246922</v>
      </c>
      <c r="O26" s="1">
        <v>0.35075132034056167</v>
      </c>
      <c r="P26" s="1">
        <v>0.26866124624675203</v>
      </c>
      <c r="Q26" s="1">
        <v>0.48290156166875486</v>
      </c>
      <c r="R26" s="1">
        <v>0.22138620165984424</v>
      </c>
      <c r="S26" s="1">
        <v>0.58035061560304446</v>
      </c>
      <c r="T26" s="1">
        <v>0.54431583940865624</v>
      </c>
      <c r="U26" s="1">
        <v>0.29537782926993034</v>
      </c>
      <c r="V26" s="1">
        <v>0.51866910335690908</v>
      </c>
      <c r="W26" s="1">
        <v>0.484301570955673</v>
      </c>
      <c r="X26" s="1">
        <v>0.55670884711062596</v>
      </c>
      <c r="Y26" s="1">
        <v>0.52728220981002638</v>
      </c>
      <c r="Z26" s="1">
        <v>0.27280343260999601</v>
      </c>
      <c r="AA26" s="1">
        <v>0.48676669952701662</v>
      </c>
      <c r="AB26" s="1">
        <v>0.52879504377638908</v>
      </c>
      <c r="AC26" s="1">
        <v>0.57922601468197565</v>
      </c>
      <c r="AD26" s="1">
        <v>0.4898272320103671</v>
      </c>
      <c r="AE26" s="1">
        <v>0.44734287497276204</v>
      </c>
      <c r="AF26" s="1">
        <v>0.51563568259636272</v>
      </c>
      <c r="AG26" s="1">
        <v>0.4631521589225534</v>
      </c>
      <c r="AH26" s="1">
        <v>0.36661573305724876</v>
      </c>
      <c r="AI26" s="1">
        <v>0.2046841717441534</v>
      </c>
      <c r="AJ26" s="1">
        <v>0.46053286931041609</v>
      </c>
      <c r="AK26" s="1">
        <v>0.58685347941682109</v>
      </c>
      <c r="AL26" s="1">
        <v>0.43350507825337065</v>
      </c>
      <c r="AM26" s="1">
        <v>0.31135608536396459</v>
      </c>
      <c r="AN26" s="1">
        <v>0.51046790298157718</v>
      </c>
      <c r="AO26" s="1">
        <v>0.36097613555123359</v>
      </c>
      <c r="AP26" s="1">
        <v>0.17728785837654987</v>
      </c>
      <c r="AQ26" s="1">
        <v>0.15724198197675446</v>
      </c>
      <c r="AR26" s="1">
        <v>5.1512466570166983E-2</v>
      </c>
      <c r="AS26" s="1">
        <v>0.13857793930158999</v>
      </c>
      <c r="AT26" s="1">
        <v>3.0607006513812946E-2</v>
      </c>
      <c r="AU26" s="1">
        <v>5.1732377166843639E-2</v>
      </c>
      <c r="AV26" s="1">
        <v>2.2034109902485145E-2</v>
      </c>
      <c r="AW26" s="1">
        <v>0.27798958970529403</v>
      </c>
      <c r="AX26" s="1">
        <v>5.2773116280925864E-3</v>
      </c>
      <c r="AY26" s="1">
        <v>0.32613141229557935</v>
      </c>
    </row>
    <row r="27" spans="2:51" x14ac:dyDescent="0.35">
      <c r="D27" t="s">
        <v>41</v>
      </c>
      <c r="E27" s="1">
        <v>0.61578799508370818</v>
      </c>
      <c r="F27" s="1">
        <v>0.56292749561932676</v>
      </c>
      <c r="G27" s="1">
        <v>0.49458324385553454</v>
      </c>
      <c r="H27" s="1">
        <v>0.54557028911595151</v>
      </c>
      <c r="I27" s="1">
        <v>0.66431663988465373</v>
      </c>
      <c r="J27" s="1">
        <v>0.45505702584522634</v>
      </c>
      <c r="K27" s="1">
        <v>1</v>
      </c>
      <c r="L27" s="1">
        <v>0.37998620331855121</v>
      </c>
      <c r="M27" s="1">
        <v>0.49239044444917385</v>
      </c>
      <c r="N27" s="1">
        <v>0.38032106137146859</v>
      </c>
      <c r="O27" s="1">
        <v>0.525008426298741</v>
      </c>
      <c r="P27" s="1">
        <v>0.39586831269959055</v>
      </c>
      <c r="Q27" s="1">
        <v>0.46134427819820545</v>
      </c>
      <c r="R27" s="1">
        <v>0.22784170683362961</v>
      </c>
      <c r="S27" s="1">
        <v>0.54588844903852884</v>
      </c>
      <c r="T27" s="1">
        <v>0.36974742133849781</v>
      </c>
      <c r="U27" s="1">
        <v>0.33922806828409025</v>
      </c>
      <c r="V27" s="1">
        <v>0.25749032425976576</v>
      </c>
      <c r="W27" s="1">
        <v>0.40007317027504935</v>
      </c>
      <c r="X27" s="1">
        <v>0.38533660141082032</v>
      </c>
      <c r="Y27" s="1">
        <v>0.41036781304636988</v>
      </c>
      <c r="Z27" s="1">
        <v>0.40250549250351558</v>
      </c>
      <c r="AA27" s="1">
        <v>0.32819271890094953</v>
      </c>
      <c r="AB27" s="1">
        <v>0.23866068342224633</v>
      </c>
      <c r="AC27" s="1">
        <v>0.41873159278418937</v>
      </c>
      <c r="AD27" s="1">
        <v>0.40130654316884268</v>
      </c>
      <c r="AE27" s="1">
        <v>0.25511093513747451</v>
      </c>
      <c r="AF27" s="1">
        <v>0.34166606028304147</v>
      </c>
      <c r="AG27" s="1">
        <v>0.4788678863814661</v>
      </c>
      <c r="AH27" s="1">
        <v>0.29831594141620649</v>
      </c>
      <c r="AI27" s="1">
        <v>0.13191503250182535</v>
      </c>
      <c r="AJ27" s="1">
        <v>0.24428733262163332</v>
      </c>
      <c r="AK27" s="1">
        <v>0.50242857940364793</v>
      </c>
      <c r="AL27" s="1">
        <v>0.36985436530255544</v>
      </c>
      <c r="AM27" s="1">
        <v>0.67051209768819775</v>
      </c>
      <c r="AN27" s="1">
        <v>0.29647330938083</v>
      </c>
      <c r="AO27" s="1">
        <v>0.19018866510837143</v>
      </c>
      <c r="AP27" s="1">
        <v>0.25625758499487439</v>
      </c>
      <c r="AQ27" s="1">
        <v>0.19287253940396584</v>
      </c>
      <c r="AR27" s="1">
        <v>0.10671658417374148</v>
      </c>
      <c r="AS27" s="1">
        <v>0.15386838716353682</v>
      </c>
      <c r="AT27" s="1">
        <v>0.16739981472293078</v>
      </c>
      <c r="AU27" s="1">
        <v>-4.9790488744098915E-2</v>
      </c>
      <c r="AV27" s="1">
        <v>0.25719767808270083</v>
      </c>
      <c r="AW27" s="1">
        <v>0.13717021959384479</v>
      </c>
      <c r="AX27" s="1">
        <v>-0.13934084291171267</v>
      </c>
      <c r="AY27" s="1">
        <v>0.22072442061961117</v>
      </c>
    </row>
    <row r="28" spans="2:51" x14ac:dyDescent="0.35">
      <c r="D28" t="s">
        <v>42</v>
      </c>
      <c r="E28" s="1">
        <v>0.60801792461446758</v>
      </c>
      <c r="F28" s="1">
        <v>0.54748053043460476</v>
      </c>
      <c r="G28" s="1">
        <v>0.5395099468575969</v>
      </c>
      <c r="H28" s="1">
        <v>0.67005493715281228</v>
      </c>
      <c r="I28" s="1">
        <v>0.38774067248143118</v>
      </c>
      <c r="J28" s="1">
        <v>0.44662509386338567</v>
      </c>
      <c r="K28" s="1">
        <v>0.37998620331855121</v>
      </c>
      <c r="L28" s="1">
        <v>1</v>
      </c>
      <c r="M28" s="1">
        <v>0.38864686142043886</v>
      </c>
      <c r="N28" s="1">
        <v>0.44773474605646518</v>
      </c>
      <c r="O28" s="1">
        <v>0.50055592728191545</v>
      </c>
      <c r="P28" s="1">
        <v>0.30770696682716725</v>
      </c>
      <c r="Q28" s="1">
        <v>0.45795198412987087</v>
      </c>
      <c r="R28" s="1">
        <v>4.1518662889994326E-2</v>
      </c>
      <c r="S28" s="1">
        <v>0.4830630635238059</v>
      </c>
      <c r="T28" s="1">
        <v>0.37430400992540813</v>
      </c>
      <c r="U28" s="1">
        <v>0.21663666836744827</v>
      </c>
      <c r="V28" s="1">
        <v>0.34328903068812627</v>
      </c>
      <c r="W28" s="1">
        <v>0.31833147638786291</v>
      </c>
      <c r="X28" s="1">
        <v>0.41156367404515515</v>
      </c>
      <c r="Y28" s="1">
        <v>0.31098142574592103</v>
      </c>
      <c r="Z28" s="1">
        <v>0.29944858010760672</v>
      </c>
      <c r="AA28" s="1">
        <v>0.29689750085357092</v>
      </c>
      <c r="AB28" s="1">
        <v>0.31135737429485488</v>
      </c>
      <c r="AC28" s="1">
        <v>0.40781684295815951</v>
      </c>
      <c r="AD28" s="1">
        <v>0.3526385844772606</v>
      </c>
      <c r="AE28" s="1">
        <v>0.25732899338813592</v>
      </c>
      <c r="AF28" s="1">
        <v>0.31253844500818284</v>
      </c>
      <c r="AG28" s="1">
        <v>0.28355337089741861</v>
      </c>
      <c r="AH28" s="1">
        <v>0.22050287631056509</v>
      </c>
      <c r="AI28" s="1">
        <v>0.10221208703492297</v>
      </c>
      <c r="AJ28" s="1">
        <v>0.23766973396974941</v>
      </c>
      <c r="AK28" s="1">
        <v>0.49528239272021274</v>
      </c>
      <c r="AL28" s="1">
        <v>0.21763478544680814</v>
      </c>
      <c r="AM28" s="1">
        <v>0.32096618990347836</v>
      </c>
      <c r="AN28" s="1">
        <v>0.48854539813973058</v>
      </c>
      <c r="AO28" s="1">
        <v>0.38321426518680818</v>
      </c>
      <c r="AP28" s="1">
        <v>0.30468303886076509</v>
      </c>
      <c r="AQ28" s="1">
        <v>0.3403902587290894</v>
      </c>
      <c r="AR28" s="1">
        <v>0.14827762284275178</v>
      </c>
      <c r="AS28" s="1">
        <v>0.2300868354333942</v>
      </c>
      <c r="AT28" s="1">
        <v>0.14683788557747798</v>
      </c>
      <c r="AU28" s="1">
        <v>-8.0755093651946983E-2</v>
      </c>
      <c r="AV28" s="1">
        <v>0.19188699205456539</v>
      </c>
      <c r="AW28" s="1">
        <v>0.19798081977380175</v>
      </c>
      <c r="AX28" s="1">
        <v>-6.7818348239101767E-2</v>
      </c>
      <c r="AY28" s="1">
        <v>0.26546340678843072</v>
      </c>
    </row>
    <row r="29" spans="2:51" x14ac:dyDescent="0.35">
      <c r="D29" t="s">
        <v>43</v>
      </c>
      <c r="E29" s="1">
        <v>0.6660760842723179</v>
      </c>
      <c r="F29" s="1">
        <v>0.75182997456131384</v>
      </c>
      <c r="G29" s="1">
        <v>0.58141225297637977</v>
      </c>
      <c r="H29" s="1">
        <v>0.52462446117330686</v>
      </c>
      <c r="I29" s="1">
        <v>0.55891979094560473</v>
      </c>
      <c r="J29" s="1">
        <v>0.52092499920976942</v>
      </c>
      <c r="K29" s="1">
        <v>0.49239044444917385</v>
      </c>
      <c r="L29" s="1">
        <v>0.38864686142043886</v>
      </c>
      <c r="M29" s="1">
        <v>1</v>
      </c>
      <c r="N29" s="1">
        <v>0.36147654435038035</v>
      </c>
      <c r="O29" s="1">
        <v>0.6084783493576712</v>
      </c>
      <c r="P29" s="1">
        <v>0.26910045303445185</v>
      </c>
      <c r="Q29" s="1">
        <v>0.53012687836546513</v>
      </c>
      <c r="R29" s="1">
        <v>0.11760486540973793</v>
      </c>
      <c r="S29" s="1">
        <v>0.58483190314643319</v>
      </c>
      <c r="T29" s="1">
        <v>0.38542817983351518</v>
      </c>
      <c r="U29" s="1">
        <v>0.27769606576267697</v>
      </c>
      <c r="V29" s="1">
        <v>0.27979238117355881</v>
      </c>
      <c r="W29" s="1">
        <v>0.42317333979914235</v>
      </c>
      <c r="X29" s="1">
        <v>0.38209765965057468</v>
      </c>
      <c r="Y29" s="1">
        <v>0.24985470585501576</v>
      </c>
      <c r="Z29" s="1">
        <v>0.26589540833011177</v>
      </c>
      <c r="AA29" s="1">
        <v>0.32823507446850947</v>
      </c>
      <c r="AB29" s="1">
        <v>0.28096231022415297</v>
      </c>
      <c r="AC29" s="1">
        <v>0.33926755545799114</v>
      </c>
      <c r="AD29" s="1">
        <v>0.32614230138480566</v>
      </c>
      <c r="AE29" s="1">
        <v>0.12263247220694982</v>
      </c>
      <c r="AF29" s="1">
        <v>0.25973999248181445</v>
      </c>
      <c r="AG29" s="1">
        <v>0.34071964271849714</v>
      </c>
      <c r="AH29" s="1">
        <v>0.18894130137078061</v>
      </c>
      <c r="AI29" s="1">
        <v>4.6110058547467999E-3</v>
      </c>
      <c r="AJ29" s="1">
        <v>0.12647835021601406</v>
      </c>
      <c r="AK29" s="1">
        <v>0.52064947554465824</v>
      </c>
      <c r="AL29" s="1">
        <v>0.24775539255891912</v>
      </c>
      <c r="AM29" s="1">
        <v>0.31734581530904099</v>
      </c>
      <c r="AN29" s="1">
        <v>0.29089264923995228</v>
      </c>
      <c r="AO29" s="1">
        <v>0.41415108234309178</v>
      </c>
      <c r="AP29" s="1">
        <v>0.14149646456170237</v>
      </c>
      <c r="AQ29" s="1">
        <v>0.24079403142238923</v>
      </c>
      <c r="AR29" s="1">
        <v>0.10574655931771641</v>
      </c>
      <c r="AS29" s="1">
        <v>0.16274516775787279</v>
      </c>
      <c r="AT29" s="1">
        <v>7.5979162322903679E-2</v>
      </c>
      <c r="AU29" s="1">
        <v>0.1527201977400662</v>
      </c>
      <c r="AV29" s="1">
        <v>0.13677247128737488</v>
      </c>
      <c r="AW29" s="1">
        <v>0.33538546301013306</v>
      </c>
      <c r="AX29" s="1">
        <v>-5.4144135617101241E-2</v>
      </c>
      <c r="AY29" s="1">
        <v>0.41281722811015298</v>
      </c>
    </row>
    <row r="30" spans="2:51" x14ac:dyDescent="0.35">
      <c r="D30" t="s">
        <v>44</v>
      </c>
      <c r="E30" s="1">
        <v>0.56953042973766199</v>
      </c>
      <c r="F30" s="1">
        <v>0.47979319637220269</v>
      </c>
      <c r="G30" s="1">
        <v>0.48082568563833306</v>
      </c>
      <c r="H30" s="1">
        <v>0.62988375036066679</v>
      </c>
      <c r="I30" s="1">
        <v>0.42988010927796028</v>
      </c>
      <c r="J30" s="1">
        <v>0.45953447878246922</v>
      </c>
      <c r="K30" s="1">
        <v>0.38032106137146859</v>
      </c>
      <c r="L30" s="1">
        <v>0.44773474605646518</v>
      </c>
      <c r="M30" s="1">
        <v>0.36147654435038035</v>
      </c>
      <c r="N30" s="1">
        <v>1</v>
      </c>
      <c r="O30" s="1">
        <v>0.4556737759907179</v>
      </c>
      <c r="P30" s="1">
        <v>0.27809493126135609</v>
      </c>
      <c r="Q30" s="1">
        <v>0.32714084344688504</v>
      </c>
      <c r="R30" s="1">
        <v>2.4670689655081943E-2</v>
      </c>
      <c r="S30" s="1">
        <v>0.64557972629843352</v>
      </c>
      <c r="T30" s="1">
        <v>0.27726421567764836</v>
      </c>
      <c r="U30" s="1">
        <v>0.14453411805125757</v>
      </c>
      <c r="V30" s="1">
        <v>0.2860078964978543</v>
      </c>
      <c r="W30" s="1">
        <v>0.21585188082380224</v>
      </c>
      <c r="X30" s="1">
        <v>0.31568851581961216</v>
      </c>
      <c r="Y30" s="1">
        <v>0.36347899799219957</v>
      </c>
      <c r="Z30" s="1">
        <v>0.31069666860102785</v>
      </c>
      <c r="AA30" s="1">
        <v>0.27523900950184449</v>
      </c>
      <c r="AB30" s="1">
        <v>0.28442568030183069</v>
      </c>
      <c r="AC30" s="1">
        <v>0.45808348562992873</v>
      </c>
      <c r="AD30" s="1">
        <v>0.48843089850866861</v>
      </c>
      <c r="AE30" s="1">
        <v>0.41562974078451148</v>
      </c>
      <c r="AF30" s="1">
        <v>0.41438399090066996</v>
      </c>
      <c r="AG30" s="1">
        <v>0.31609499001718583</v>
      </c>
      <c r="AH30" s="1">
        <v>0.32429627275660577</v>
      </c>
      <c r="AI30" s="1">
        <v>0.20558056954730164</v>
      </c>
      <c r="AJ30" s="1">
        <v>0.41666883051895559</v>
      </c>
      <c r="AK30" s="1">
        <v>0.42395383617689664</v>
      </c>
      <c r="AL30" s="1">
        <v>0.22571502406727481</v>
      </c>
      <c r="AM30" s="1">
        <v>0.26466284862589662</v>
      </c>
      <c r="AN30" s="1">
        <v>0.39896370082932814</v>
      </c>
      <c r="AO30" s="1">
        <v>0.26319949487282696</v>
      </c>
      <c r="AP30" s="1">
        <v>0.29530989260809909</v>
      </c>
      <c r="AQ30" s="1">
        <v>2.6254393305086929E-2</v>
      </c>
      <c r="AR30" s="1">
        <v>0.18811952880036148</v>
      </c>
      <c r="AS30" s="1">
        <v>0.16515645506421056</v>
      </c>
      <c r="AT30" s="1">
        <v>4.0353845215846756E-2</v>
      </c>
      <c r="AU30" s="1">
        <v>-0.21908768616147589</v>
      </c>
      <c r="AV30" s="1">
        <v>0.22743087977669066</v>
      </c>
      <c r="AW30" s="1">
        <v>0.12489387109003293</v>
      </c>
      <c r="AX30" s="1">
        <v>-6.4666625552170523E-2</v>
      </c>
      <c r="AY30" s="1">
        <v>8.2061522713590448E-2</v>
      </c>
    </row>
    <row r="31" spans="2:51" x14ac:dyDescent="0.35">
      <c r="D31" t="s">
        <v>45</v>
      </c>
      <c r="E31" s="1">
        <v>0.7875799677729568</v>
      </c>
      <c r="F31" s="1">
        <v>0.78268494685998258</v>
      </c>
      <c r="G31" s="1">
        <v>0.7536492558765806</v>
      </c>
      <c r="H31" s="1">
        <v>0.65971829965885875</v>
      </c>
      <c r="I31" s="1">
        <v>0.61457781583118531</v>
      </c>
      <c r="J31" s="1">
        <v>0.35075132034056167</v>
      </c>
      <c r="K31" s="1">
        <v>0.525008426298741</v>
      </c>
      <c r="L31" s="1">
        <v>0.50055592728191545</v>
      </c>
      <c r="M31" s="1">
        <v>0.6084783493576712</v>
      </c>
      <c r="N31" s="1">
        <v>0.4556737759907179</v>
      </c>
      <c r="O31" s="1">
        <v>1</v>
      </c>
      <c r="P31" s="1">
        <v>0.31702959912266926</v>
      </c>
      <c r="Q31" s="1">
        <v>0.65152714314205884</v>
      </c>
      <c r="R31" s="1">
        <v>0.19406820395865187</v>
      </c>
      <c r="S31" s="1">
        <v>0.55599824039770851</v>
      </c>
      <c r="T31" s="1">
        <v>0.55536068212734147</v>
      </c>
      <c r="U31" s="1">
        <v>0.32074146064080433</v>
      </c>
      <c r="V31" s="1">
        <v>0.56137751913385237</v>
      </c>
      <c r="W31" s="1">
        <v>0.5093497999646156</v>
      </c>
      <c r="X31" s="1">
        <v>0.50016303350762281</v>
      </c>
      <c r="Y31" s="1">
        <v>0.43267999029189153</v>
      </c>
      <c r="Z31" s="1">
        <v>0.41138378428310002</v>
      </c>
      <c r="AA31" s="1">
        <v>0.43417753177775537</v>
      </c>
      <c r="AB31" s="1">
        <v>0.53109725497166616</v>
      </c>
      <c r="AC31" s="1">
        <v>0.57966679013080413</v>
      </c>
      <c r="AD31" s="1">
        <v>0.626493131403563</v>
      </c>
      <c r="AE31" s="1">
        <v>0.37834136275085156</v>
      </c>
      <c r="AF31" s="1">
        <v>0.4403829368936929</v>
      </c>
      <c r="AG31" s="1">
        <v>0.51029827430153107</v>
      </c>
      <c r="AH31" s="1">
        <v>0.32676129970044099</v>
      </c>
      <c r="AI31" s="1">
        <v>0.28038734455202158</v>
      </c>
      <c r="AJ31" s="1">
        <v>0.36076061567984979</v>
      </c>
      <c r="AK31" s="1">
        <v>0.70662115153235261</v>
      </c>
      <c r="AL31" s="1">
        <v>0.41296165819021868</v>
      </c>
      <c r="AM31" s="1">
        <v>0.32582841783983729</v>
      </c>
      <c r="AN31" s="1">
        <v>0.33083831321309276</v>
      </c>
      <c r="AO31" s="1">
        <v>0.4268585711104132</v>
      </c>
      <c r="AP31" s="1">
        <v>0.13258869746755766</v>
      </c>
      <c r="AQ31" s="1">
        <v>0.20710477891846948</v>
      </c>
      <c r="AR31" s="1">
        <v>0.13233971224350904</v>
      </c>
      <c r="AS31" s="1">
        <v>0.162486330861455</v>
      </c>
      <c r="AT31" s="1">
        <v>8.1541285335696351E-2</v>
      </c>
      <c r="AU31" s="1">
        <v>-5.5528030812705638E-2</v>
      </c>
      <c r="AV31" s="1">
        <v>0.14065717374110082</v>
      </c>
      <c r="AW31" s="1">
        <v>0.1980381355966522</v>
      </c>
      <c r="AX31" s="1">
        <v>-0.22999184089280539</v>
      </c>
      <c r="AY31" s="1">
        <v>0.27810172769098845</v>
      </c>
    </row>
    <row r="32" spans="2:51" x14ac:dyDescent="0.35">
      <c r="D32" t="s">
        <v>46</v>
      </c>
      <c r="E32" s="1">
        <v>0.41065141366300867</v>
      </c>
      <c r="F32" s="1">
        <v>0.37253689786564004</v>
      </c>
      <c r="G32" s="1">
        <v>0.24964936262154055</v>
      </c>
      <c r="H32" s="1">
        <v>0.44895950693504505</v>
      </c>
      <c r="I32" s="1">
        <v>0.44603394525732032</v>
      </c>
      <c r="J32" s="1">
        <v>0.26866124624675203</v>
      </c>
      <c r="K32" s="1">
        <v>0.39586831269959055</v>
      </c>
      <c r="L32" s="1">
        <v>0.30770696682716725</v>
      </c>
      <c r="M32" s="1">
        <v>0.26910045303445185</v>
      </c>
      <c r="N32" s="1">
        <v>0.27809493126135609</v>
      </c>
      <c r="O32" s="1">
        <v>0.31702959912266926</v>
      </c>
      <c r="P32" s="1">
        <v>1</v>
      </c>
      <c r="Q32" s="1">
        <v>0.35065532222009965</v>
      </c>
      <c r="R32" s="1">
        <v>0.22052912118821169</v>
      </c>
      <c r="S32" s="1">
        <v>0.51895309512872878</v>
      </c>
      <c r="T32" s="1">
        <v>0.37284102115422485</v>
      </c>
      <c r="U32" s="1">
        <v>0.46385405466296797</v>
      </c>
      <c r="V32" s="1">
        <v>0.27674093914991138</v>
      </c>
      <c r="W32" s="1">
        <v>0.38172307616070655</v>
      </c>
      <c r="X32" s="1">
        <v>0.40622315174059914</v>
      </c>
      <c r="Y32" s="1">
        <v>0.48430859500276408</v>
      </c>
      <c r="Z32" s="1">
        <v>0.39445160263236256</v>
      </c>
      <c r="AA32" s="1">
        <v>0.25517447826101358</v>
      </c>
      <c r="AB32" s="1">
        <v>0.27615674970094589</v>
      </c>
      <c r="AC32" s="1">
        <v>0.35147487697971991</v>
      </c>
      <c r="AD32" s="1">
        <v>0.27705799216068744</v>
      </c>
      <c r="AE32" s="1">
        <v>0.24310136175829866</v>
      </c>
      <c r="AF32" s="1">
        <v>0.32039726085174064</v>
      </c>
      <c r="AG32" s="1">
        <v>0.41509217056284597</v>
      </c>
      <c r="AH32" s="1">
        <v>0.34074886409019006</v>
      </c>
      <c r="AI32" s="1">
        <v>0.17382430248850569</v>
      </c>
      <c r="AJ32" s="1">
        <v>0.24899218494934577</v>
      </c>
      <c r="AK32" s="1">
        <v>0.39384323094354845</v>
      </c>
      <c r="AL32" s="1">
        <v>0.33867460639076075</v>
      </c>
      <c r="AM32" s="1">
        <v>0.31895790823262493</v>
      </c>
      <c r="AN32" s="1">
        <v>0.24046806166108781</v>
      </c>
      <c r="AO32" s="1">
        <v>0.1958393311049958</v>
      </c>
      <c r="AP32" s="1">
        <v>0.12891985586561869</v>
      </c>
      <c r="AQ32" s="1">
        <v>0.20033533215344507</v>
      </c>
      <c r="AR32" s="1">
        <v>3.7154313463776912E-3</v>
      </c>
      <c r="AS32" s="1">
        <v>-1.3667664443357892E-2</v>
      </c>
      <c r="AT32" s="1">
        <v>0.43644741679749971</v>
      </c>
      <c r="AU32" s="1">
        <v>1.4417565821724643E-2</v>
      </c>
      <c r="AV32" s="1">
        <v>0.24333465883471428</v>
      </c>
      <c r="AW32" s="1">
        <v>0.18181459499860325</v>
      </c>
      <c r="AX32" s="1">
        <v>-1.6981328854838711E-2</v>
      </c>
      <c r="AY32" s="1">
        <v>0.10552547634441882</v>
      </c>
    </row>
    <row r="33" spans="4:51" x14ac:dyDescent="0.35">
      <c r="D33" t="s">
        <v>47</v>
      </c>
      <c r="E33" s="1">
        <v>0.70336426865194202</v>
      </c>
      <c r="F33" s="1">
        <v>0.68542397654969833</v>
      </c>
      <c r="G33" s="1">
        <v>0.69726974969028543</v>
      </c>
      <c r="H33" s="1">
        <v>0.61694659344572755</v>
      </c>
      <c r="I33" s="1">
        <v>0.51675607706911242</v>
      </c>
      <c r="J33" s="1">
        <v>0.48290156166875486</v>
      </c>
      <c r="K33" s="1">
        <v>0.46134427819820545</v>
      </c>
      <c r="L33" s="1">
        <v>0.45795198412987087</v>
      </c>
      <c r="M33" s="1">
        <v>0.53012687836546513</v>
      </c>
      <c r="N33" s="1">
        <v>0.32714084344688504</v>
      </c>
      <c r="O33" s="1">
        <v>0.65152714314205884</v>
      </c>
      <c r="P33" s="1">
        <v>0.35065532222009965</v>
      </c>
      <c r="Q33" s="1">
        <v>1</v>
      </c>
      <c r="R33" s="1">
        <v>0.30968569295062642</v>
      </c>
      <c r="S33" s="1">
        <v>0.48064948484907266</v>
      </c>
      <c r="T33" s="1">
        <v>0.60101744002652047</v>
      </c>
      <c r="U33" s="1">
        <v>0.28870030333732022</v>
      </c>
      <c r="V33" s="1">
        <v>0.55497274282451403</v>
      </c>
      <c r="W33" s="1">
        <v>0.58599125731731283</v>
      </c>
      <c r="X33" s="1">
        <v>0.55940993643242198</v>
      </c>
      <c r="Y33" s="1">
        <v>0.44514512136281575</v>
      </c>
      <c r="Z33" s="1">
        <v>0.3884395922638923</v>
      </c>
      <c r="AA33" s="1">
        <v>0.44395035029740465</v>
      </c>
      <c r="AB33" s="1">
        <v>0.51712460247394187</v>
      </c>
      <c r="AC33" s="1">
        <v>0.5356461251132445</v>
      </c>
      <c r="AD33" s="1">
        <v>0.4915106672354852</v>
      </c>
      <c r="AE33" s="1">
        <v>0.33940939662726743</v>
      </c>
      <c r="AF33" s="1">
        <v>0.39521471181365414</v>
      </c>
      <c r="AG33" s="1">
        <v>0.55386252469641017</v>
      </c>
      <c r="AH33" s="1">
        <v>0.36848270144655626</v>
      </c>
      <c r="AI33" s="1">
        <v>0.1716783559289051</v>
      </c>
      <c r="AJ33" s="1">
        <v>0.31678077918008074</v>
      </c>
      <c r="AK33" s="1">
        <v>0.93485387372142781</v>
      </c>
      <c r="AL33" s="1">
        <v>0.48160478681209651</v>
      </c>
      <c r="AM33" s="1">
        <v>0.31455546415041274</v>
      </c>
      <c r="AN33" s="1">
        <v>0.32258753373502053</v>
      </c>
      <c r="AO33" s="1">
        <v>0.39039846177081666</v>
      </c>
      <c r="AP33" s="1">
        <v>7.7326800859475547E-2</v>
      </c>
      <c r="AQ33" s="1">
        <v>0.16424606066306752</v>
      </c>
      <c r="AR33" s="1">
        <v>-5.0048639247006636E-2</v>
      </c>
      <c r="AS33" s="1">
        <v>9.0659997666369452E-2</v>
      </c>
      <c r="AT33" s="1">
        <v>1.2981415839131564E-2</v>
      </c>
      <c r="AU33" s="1">
        <v>0.19232661325786729</v>
      </c>
      <c r="AV33" s="1">
        <v>-7.3211763509033027E-4</v>
      </c>
      <c r="AW33" s="1">
        <v>0.30566510096028743</v>
      </c>
      <c r="AX33" s="1">
        <v>-0.18196516271862331</v>
      </c>
      <c r="AY33" s="1">
        <v>0.35928282554389396</v>
      </c>
    </row>
    <row r="34" spans="4:51" x14ac:dyDescent="0.35">
      <c r="D34" t="s">
        <v>48</v>
      </c>
      <c r="E34" s="1">
        <v>0.2607342916271661</v>
      </c>
      <c r="F34" s="1">
        <v>0.1966736256507832</v>
      </c>
      <c r="G34" s="1">
        <v>0.29302120546109772</v>
      </c>
      <c r="H34" s="1">
        <v>0.20229775961989069</v>
      </c>
      <c r="I34" s="1">
        <v>0.25704630120738214</v>
      </c>
      <c r="J34" s="1">
        <v>0.22138620165984424</v>
      </c>
      <c r="K34" s="1">
        <v>0.22784170683362961</v>
      </c>
      <c r="L34" s="1">
        <v>4.1518662889994326E-2</v>
      </c>
      <c r="M34" s="1">
        <v>0.11760486540973793</v>
      </c>
      <c r="N34" s="1">
        <v>2.4670689655081943E-2</v>
      </c>
      <c r="O34" s="1">
        <v>0.19406820395865187</v>
      </c>
      <c r="P34" s="1">
        <v>0.22052912118821169</v>
      </c>
      <c r="Q34" s="1">
        <v>0.30968569295062642</v>
      </c>
      <c r="R34" s="1">
        <v>1</v>
      </c>
      <c r="S34" s="1">
        <v>0.133427275968762</v>
      </c>
      <c r="T34" s="1">
        <v>0.25242932474295576</v>
      </c>
      <c r="U34" s="1">
        <v>0.13828417889978073</v>
      </c>
      <c r="V34" s="1">
        <v>0.21094305946103836</v>
      </c>
      <c r="W34" s="1">
        <v>0.23421822607376291</v>
      </c>
      <c r="X34" s="1">
        <v>0.26925155593822248</v>
      </c>
      <c r="Y34" s="1">
        <v>0.19618433102370483</v>
      </c>
      <c r="Z34" s="1">
        <v>0.13218945372371385</v>
      </c>
      <c r="AA34" s="1">
        <v>0.23490535873709723</v>
      </c>
      <c r="AB34" s="1">
        <v>0.17882232469668527</v>
      </c>
      <c r="AC34" s="1">
        <v>0.26717774495668567</v>
      </c>
      <c r="AD34" s="1">
        <v>0.21210565213256091</v>
      </c>
      <c r="AE34" s="1">
        <v>0.20531588714147356</v>
      </c>
      <c r="AF34" s="1">
        <v>0.22715529688528699</v>
      </c>
      <c r="AG34" s="1">
        <v>0.21775899525882667</v>
      </c>
      <c r="AH34" s="1">
        <v>9.5768812936964695E-2</v>
      </c>
      <c r="AI34" s="1">
        <v>0.21959709202915945</v>
      </c>
      <c r="AJ34" s="1">
        <v>0.18229783565796057</v>
      </c>
      <c r="AK34" s="1">
        <v>0.33179055370969796</v>
      </c>
      <c r="AL34" s="1">
        <v>0.9040920096230104</v>
      </c>
      <c r="AM34" s="1">
        <v>-2.6682365124904947E-2</v>
      </c>
      <c r="AN34" s="1">
        <v>-4.3750543358699476E-2</v>
      </c>
      <c r="AO34" s="1">
        <v>-5.1280922717790188E-2</v>
      </c>
      <c r="AP34" s="1">
        <v>-0.28673120740737623</v>
      </c>
      <c r="AQ34" s="1">
        <v>9.702630690447768E-2</v>
      </c>
      <c r="AR34" s="1">
        <v>0.11148755023269165</v>
      </c>
      <c r="AS34" s="1">
        <v>0.20243689918473023</v>
      </c>
      <c r="AT34" s="1">
        <v>-1.5335411464916923E-2</v>
      </c>
      <c r="AU34" s="1">
        <v>0.13969166676044528</v>
      </c>
      <c r="AV34" s="1">
        <v>-1.1520836483762745E-2</v>
      </c>
      <c r="AW34" s="1">
        <v>3.2341936517433015E-2</v>
      </c>
      <c r="AX34" s="1">
        <v>-6.1654579078820361E-2</v>
      </c>
      <c r="AY34" s="1">
        <v>-3.4072240417475509E-2</v>
      </c>
    </row>
    <row r="35" spans="4:51" x14ac:dyDescent="0.35">
      <c r="D35" t="s">
        <v>49</v>
      </c>
      <c r="E35" s="1">
        <v>0.6866480179002884</v>
      </c>
      <c r="F35" s="1">
        <v>0.63522185229406747</v>
      </c>
      <c r="G35" s="1">
        <v>0.58231832065165645</v>
      </c>
      <c r="H35" s="1">
        <v>0.66100937580055297</v>
      </c>
      <c r="I35" s="1">
        <v>0.61022549721680985</v>
      </c>
      <c r="J35" s="1">
        <v>0.58035061560304446</v>
      </c>
      <c r="K35" s="1">
        <v>0.54588844903852884</v>
      </c>
      <c r="L35" s="1">
        <v>0.4830630635238059</v>
      </c>
      <c r="M35" s="1">
        <v>0.58483190314643319</v>
      </c>
      <c r="N35" s="1">
        <v>0.64557972629843352</v>
      </c>
      <c r="O35" s="1">
        <v>0.55599824039770851</v>
      </c>
      <c r="P35" s="1">
        <v>0.51895309512872878</v>
      </c>
      <c r="Q35" s="1">
        <v>0.48064948484907266</v>
      </c>
      <c r="R35" s="1">
        <v>0.133427275968762</v>
      </c>
      <c r="S35" s="1">
        <v>1</v>
      </c>
      <c r="T35" s="1">
        <v>0.53131880985843871</v>
      </c>
      <c r="U35" s="1">
        <v>0.53142149780244696</v>
      </c>
      <c r="V35" s="1">
        <v>0.43772940460542425</v>
      </c>
      <c r="W35" s="1">
        <v>0.52023255267444413</v>
      </c>
      <c r="X35" s="1">
        <v>0.55326140868721529</v>
      </c>
      <c r="Y35" s="1">
        <v>0.49193386728805172</v>
      </c>
      <c r="Z35" s="1">
        <v>0.51541940425898569</v>
      </c>
      <c r="AA35" s="1">
        <v>0.45985072655964898</v>
      </c>
      <c r="AB35" s="1">
        <v>0.44488673996722733</v>
      </c>
      <c r="AC35" s="1">
        <v>0.52774840535414902</v>
      </c>
      <c r="AD35" s="1">
        <v>0.36472972487752098</v>
      </c>
      <c r="AE35" s="1">
        <v>0.37745421692192749</v>
      </c>
      <c r="AF35" s="1">
        <v>0.46381250658769646</v>
      </c>
      <c r="AG35" s="1">
        <v>0.54805239529996408</v>
      </c>
      <c r="AH35" s="1">
        <v>0.32546782014136832</v>
      </c>
      <c r="AI35" s="1">
        <v>0.1332161080231084</v>
      </c>
      <c r="AJ35" s="1">
        <v>0.38854043041156161</v>
      </c>
      <c r="AK35" s="1">
        <v>0.56265130509806749</v>
      </c>
      <c r="AL35" s="1">
        <v>0.3473767701367646</v>
      </c>
      <c r="AM35" s="1">
        <v>0.42800953239628758</v>
      </c>
      <c r="AN35" s="1">
        <v>0.40455688584263394</v>
      </c>
      <c r="AO35" s="1">
        <v>0.32235830080189615</v>
      </c>
      <c r="AP35" s="1">
        <v>0.34447476785814785</v>
      </c>
      <c r="AQ35" s="1">
        <v>0.11174931105727719</v>
      </c>
      <c r="AR35" s="1">
        <v>0.13220990062821217</v>
      </c>
      <c r="AS35" s="1">
        <v>0.13977644708227593</v>
      </c>
      <c r="AT35" s="1">
        <v>0.38334978438046458</v>
      </c>
      <c r="AU35" s="1">
        <v>5.6795109183238515E-3</v>
      </c>
      <c r="AV35" s="1">
        <v>0.38096171359769321</v>
      </c>
      <c r="AW35" s="1">
        <v>0.44223509827638896</v>
      </c>
      <c r="AX35" s="1">
        <v>-0.15390404732800606</v>
      </c>
      <c r="AY35" s="1">
        <v>0.34999799041932228</v>
      </c>
    </row>
    <row r="36" spans="4:51" x14ac:dyDescent="0.35">
      <c r="D36" t="s">
        <v>50</v>
      </c>
      <c r="E36" s="1">
        <v>0.69511716368160426</v>
      </c>
      <c r="F36" s="1">
        <v>0.6745897758828453</v>
      </c>
      <c r="G36" s="1">
        <v>0.65008986255779355</v>
      </c>
      <c r="H36" s="1">
        <v>0.60633439501721054</v>
      </c>
      <c r="I36" s="1">
        <v>0.54803270278333593</v>
      </c>
      <c r="J36" s="1">
        <v>0.54431583940865624</v>
      </c>
      <c r="K36" s="1">
        <v>0.36974742133849781</v>
      </c>
      <c r="L36" s="1">
        <v>0.37430400992540813</v>
      </c>
      <c r="M36" s="1">
        <v>0.38542817983351518</v>
      </c>
      <c r="N36" s="1">
        <v>0.27726421567764836</v>
      </c>
      <c r="O36" s="1">
        <v>0.55536068212734147</v>
      </c>
      <c r="P36" s="1">
        <v>0.37284102115422485</v>
      </c>
      <c r="Q36" s="1">
        <v>0.60101744002652047</v>
      </c>
      <c r="R36" s="1">
        <v>0.25242932474295576</v>
      </c>
      <c r="S36" s="1">
        <v>0.53131880985843871</v>
      </c>
      <c r="T36" s="1">
        <v>1</v>
      </c>
      <c r="U36" s="1">
        <v>0.4920058189311175</v>
      </c>
      <c r="V36" s="1">
        <v>0.92829238953950699</v>
      </c>
      <c r="W36" s="1">
        <v>0.96371147120583656</v>
      </c>
      <c r="X36" s="1">
        <v>0.94513987856756299</v>
      </c>
      <c r="Y36" s="1">
        <v>0.81693035035244432</v>
      </c>
      <c r="Z36" s="1">
        <v>0.50179575891654193</v>
      </c>
      <c r="AA36" s="1">
        <v>0.79289219474840023</v>
      </c>
      <c r="AB36" s="1">
        <v>0.91578907867859682</v>
      </c>
      <c r="AC36" s="1">
        <v>0.83008179428363316</v>
      </c>
      <c r="AD36" s="1">
        <v>0.6090037697934364</v>
      </c>
      <c r="AE36" s="1">
        <v>0.67682376736398675</v>
      </c>
      <c r="AF36" s="1">
        <v>0.72118458481788694</v>
      </c>
      <c r="AG36" s="1">
        <v>0.80536914575038432</v>
      </c>
      <c r="AH36" s="1">
        <v>0.57204378134760037</v>
      </c>
      <c r="AI36" s="1">
        <v>0.40681017707886291</v>
      </c>
      <c r="AJ36" s="1">
        <v>0.67883943419903436</v>
      </c>
      <c r="AK36" s="1">
        <v>0.7746157851042863</v>
      </c>
      <c r="AL36" s="1">
        <v>0.56709378698590962</v>
      </c>
      <c r="AM36" s="1">
        <v>0.38271663628318803</v>
      </c>
      <c r="AN36" s="1">
        <v>0.42240518368297447</v>
      </c>
      <c r="AO36" s="1">
        <v>0.33388907863843653</v>
      </c>
      <c r="AP36" s="1">
        <v>0.25978990223429027</v>
      </c>
      <c r="AQ36" s="1">
        <v>0.12491325222427406</v>
      </c>
      <c r="AR36" s="1">
        <v>8.9256272449655116E-2</v>
      </c>
      <c r="AS36" s="1">
        <v>9.0438688996229283E-2</v>
      </c>
      <c r="AT36" s="1">
        <v>2.9251847567682784E-2</v>
      </c>
      <c r="AU36" s="1">
        <v>0.13317838666633722</v>
      </c>
      <c r="AV36" s="1">
        <v>-0.15920011624962768</v>
      </c>
      <c r="AW36" s="1">
        <v>0.33816253161662407</v>
      </c>
      <c r="AX36" s="1">
        <v>-8.0768731005158453E-2</v>
      </c>
      <c r="AY36" s="1">
        <v>0.42036829045113944</v>
      </c>
    </row>
    <row r="37" spans="4:51" x14ac:dyDescent="0.35">
      <c r="D37" t="s">
        <v>51</v>
      </c>
      <c r="E37" s="1">
        <v>0.40927509162549675</v>
      </c>
      <c r="F37" s="1">
        <v>0.40314111829836158</v>
      </c>
      <c r="G37" s="1">
        <v>0.30824461896072947</v>
      </c>
      <c r="H37" s="1">
        <v>0.39233728631634063</v>
      </c>
      <c r="I37" s="1">
        <v>0.41703858929533882</v>
      </c>
      <c r="J37" s="1">
        <v>0.29537782926993034</v>
      </c>
      <c r="K37" s="1">
        <v>0.33922806828409025</v>
      </c>
      <c r="L37" s="1">
        <v>0.21663666836744827</v>
      </c>
      <c r="M37" s="1">
        <v>0.27769606576267697</v>
      </c>
      <c r="N37" s="1">
        <v>0.14453411805125757</v>
      </c>
      <c r="O37" s="1">
        <v>0.32074146064080433</v>
      </c>
      <c r="P37" s="1">
        <v>0.46385405466296797</v>
      </c>
      <c r="Q37" s="1">
        <v>0.28870030333732022</v>
      </c>
      <c r="R37" s="1">
        <v>0.13828417889978073</v>
      </c>
      <c r="S37" s="1">
        <v>0.53142149780244696</v>
      </c>
      <c r="T37" s="1">
        <v>0.4920058189311175</v>
      </c>
      <c r="U37" s="1">
        <v>1</v>
      </c>
      <c r="V37" s="1">
        <v>0.39450539538101032</v>
      </c>
      <c r="W37" s="1">
        <v>0.48576774812385198</v>
      </c>
      <c r="X37" s="1">
        <v>0.49537109261333767</v>
      </c>
      <c r="Y37" s="1">
        <v>0.40103968764458725</v>
      </c>
      <c r="Z37" s="1">
        <v>0.89298172078366644</v>
      </c>
      <c r="AA37" s="1">
        <v>0.37546942951829271</v>
      </c>
      <c r="AB37" s="1">
        <v>0.40477860315599196</v>
      </c>
      <c r="AC37" s="1">
        <v>0.37282595008805219</v>
      </c>
      <c r="AD37" s="1">
        <v>0.24860263319903711</v>
      </c>
      <c r="AE37" s="1">
        <v>0.26675789066250383</v>
      </c>
      <c r="AF37" s="1">
        <v>0.3216709821007524</v>
      </c>
      <c r="AG37" s="1">
        <v>0.42288013835907529</v>
      </c>
      <c r="AH37" s="1">
        <v>0.15865539413402724</v>
      </c>
      <c r="AI37" s="1">
        <v>0.13134355520864777</v>
      </c>
      <c r="AJ37" s="1">
        <v>0.28273344228431824</v>
      </c>
      <c r="AK37" s="1">
        <v>0.35928897827277473</v>
      </c>
      <c r="AL37" s="1">
        <v>0.28581129514749604</v>
      </c>
      <c r="AM37" s="1">
        <v>0.21149020704355706</v>
      </c>
      <c r="AN37" s="1">
        <v>0.21956806924735531</v>
      </c>
      <c r="AO37" s="1">
        <v>0.17320460098023788</v>
      </c>
      <c r="AP37" s="1">
        <v>9.0777850899075627E-2</v>
      </c>
      <c r="AQ37" s="1">
        <v>-5.3330375615423704E-2</v>
      </c>
      <c r="AR37" s="1">
        <v>-3.3660824525533248E-2</v>
      </c>
      <c r="AS37" s="1">
        <v>-3.3010928080378477E-2</v>
      </c>
      <c r="AT37" s="1">
        <v>0.5159166044241712</v>
      </c>
      <c r="AU37" s="1">
        <v>-0.15639548061046391</v>
      </c>
      <c r="AV37" s="1">
        <v>0.33966987071326932</v>
      </c>
      <c r="AW37" s="1">
        <v>0.1135604136958079</v>
      </c>
      <c r="AX37" s="1">
        <v>-6.9836356204915032E-2</v>
      </c>
      <c r="AY37" s="1">
        <v>0.10953901449133065</v>
      </c>
    </row>
    <row r="38" spans="4:51" x14ac:dyDescent="0.35">
      <c r="D38" t="s">
        <v>52</v>
      </c>
      <c r="E38" s="1">
        <v>0.64793353010446053</v>
      </c>
      <c r="F38" s="1">
        <v>0.61496414806145439</v>
      </c>
      <c r="G38" s="1">
        <v>0.71288135639564654</v>
      </c>
      <c r="H38" s="1">
        <v>0.51031884437457264</v>
      </c>
      <c r="I38" s="1">
        <v>0.43957781961719761</v>
      </c>
      <c r="J38" s="1">
        <v>0.51866910335690908</v>
      </c>
      <c r="K38" s="1">
        <v>0.25749032425976576</v>
      </c>
      <c r="L38" s="1">
        <v>0.34328903068812627</v>
      </c>
      <c r="M38" s="1">
        <v>0.27979238117355881</v>
      </c>
      <c r="N38" s="1">
        <v>0.2860078964978543</v>
      </c>
      <c r="O38" s="1">
        <v>0.56137751913385237</v>
      </c>
      <c r="P38" s="1">
        <v>0.27674093914991138</v>
      </c>
      <c r="Q38" s="1">
        <v>0.55497274282451403</v>
      </c>
      <c r="R38" s="1">
        <v>0.21094305946103836</v>
      </c>
      <c r="S38" s="1">
        <v>0.43772940460542425</v>
      </c>
      <c r="T38" s="1">
        <v>0.92829238953950699</v>
      </c>
      <c r="U38" s="1">
        <v>0.39450539538101032</v>
      </c>
      <c r="V38" s="1">
        <v>1</v>
      </c>
      <c r="W38" s="1">
        <v>0.8279335566339725</v>
      </c>
      <c r="X38" s="1">
        <v>0.80262986639865397</v>
      </c>
      <c r="Y38" s="1">
        <v>0.75959736310853199</v>
      </c>
      <c r="Z38" s="1">
        <v>0.43687074243937746</v>
      </c>
      <c r="AA38" s="1">
        <v>0.71132170988290233</v>
      </c>
      <c r="AB38" s="1">
        <v>0.98198359868053997</v>
      </c>
      <c r="AC38" s="1">
        <v>0.87283428226456472</v>
      </c>
      <c r="AD38" s="1">
        <v>0.68325601827306726</v>
      </c>
      <c r="AE38" s="1">
        <v>0.8061639079868318</v>
      </c>
      <c r="AF38" s="1">
        <v>0.72589962840220612</v>
      </c>
      <c r="AG38" s="1">
        <v>0.7495850981191341</v>
      </c>
      <c r="AH38" s="1">
        <v>0.55790800473119007</v>
      </c>
      <c r="AI38" s="1">
        <v>0.48617509739422676</v>
      </c>
      <c r="AJ38" s="1">
        <v>0.80159022779743339</v>
      </c>
      <c r="AK38" s="1">
        <v>0.76152982287795434</v>
      </c>
      <c r="AL38" s="1">
        <v>0.55231700228058012</v>
      </c>
      <c r="AM38" s="1">
        <v>0.28988823987529722</v>
      </c>
      <c r="AN38" s="1">
        <v>0.3895738664600556</v>
      </c>
      <c r="AO38" s="1">
        <v>0.40311598106844682</v>
      </c>
      <c r="AP38" s="1">
        <v>0.132652443523156</v>
      </c>
      <c r="AQ38" s="1">
        <v>8.346018843554516E-2</v>
      </c>
      <c r="AR38" s="1">
        <v>5.4280466750918778E-2</v>
      </c>
      <c r="AS38" s="1">
        <v>7.5700069825144434E-2</v>
      </c>
      <c r="AT38" s="1">
        <v>-1.7075332968439813E-2</v>
      </c>
      <c r="AU38" s="1">
        <v>8.338275754792239E-2</v>
      </c>
      <c r="AV38" s="1">
        <v>-0.14275142980150382</v>
      </c>
      <c r="AW38" s="1">
        <v>0.30017202123752013</v>
      </c>
      <c r="AX38" s="1">
        <v>-0.14447449957841837</v>
      </c>
      <c r="AY38" s="1">
        <v>0.33137656891941797</v>
      </c>
    </row>
    <row r="39" spans="4:51" x14ac:dyDescent="0.35">
      <c r="D39" t="s">
        <v>53</v>
      </c>
      <c r="E39" s="1">
        <v>0.64181116115788728</v>
      </c>
      <c r="F39" s="1">
        <v>0.64044960092885017</v>
      </c>
      <c r="G39" s="1">
        <v>0.55168109244898977</v>
      </c>
      <c r="H39" s="1">
        <v>0.54627033129308578</v>
      </c>
      <c r="I39" s="1">
        <v>0.56882470135536756</v>
      </c>
      <c r="J39" s="1">
        <v>0.484301570955673</v>
      </c>
      <c r="K39" s="1">
        <v>0.40007317027504935</v>
      </c>
      <c r="L39" s="1">
        <v>0.31833147638786291</v>
      </c>
      <c r="M39" s="1">
        <v>0.42317333979914235</v>
      </c>
      <c r="N39" s="1">
        <v>0.21585188082380224</v>
      </c>
      <c r="O39" s="1">
        <v>0.5093497999646156</v>
      </c>
      <c r="P39" s="1">
        <v>0.38172307616070655</v>
      </c>
      <c r="Q39" s="1">
        <v>0.58599125731731283</v>
      </c>
      <c r="R39" s="1">
        <v>0.23421822607376291</v>
      </c>
      <c r="S39" s="1">
        <v>0.52023255267444413</v>
      </c>
      <c r="T39" s="1">
        <v>0.96371147120583656</v>
      </c>
      <c r="U39" s="1">
        <v>0.48576774812385198</v>
      </c>
      <c r="V39" s="1">
        <v>0.8279335566339725</v>
      </c>
      <c r="W39" s="1">
        <v>1</v>
      </c>
      <c r="X39" s="1">
        <v>0.9036914094876537</v>
      </c>
      <c r="Y39" s="1">
        <v>0.77148520906006823</v>
      </c>
      <c r="Z39" s="1">
        <v>0.48536199323698642</v>
      </c>
      <c r="AA39" s="1">
        <v>0.77118828463072975</v>
      </c>
      <c r="AB39" s="1">
        <v>0.81604438537386614</v>
      </c>
      <c r="AC39" s="1">
        <v>0.74265676087261512</v>
      </c>
      <c r="AD39" s="1">
        <v>0.51682299096057249</v>
      </c>
      <c r="AE39" s="1">
        <v>0.56416929681302908</v>
      </c>
      <c r="AF39" s="1">
        <v>0.65399680307664565</v>
      </c>
      <c r="AG39" s="1">
        <v>0.82196161756107078</v>
      </c>
      <c r="AH39" s="1">
        <v>0.55543226834871695</v>
      </c>
      <c r="AI39" s="1">
        <v>0.34839872283125878</v>
      </c>
      <c r="AJ39" s="1">
        <v>0.5660365256446136</v>
      </c>
      <c r="AK39" s="1">
        <v>0.72718680288893633</v>
      </c>
      <c r="AL39" s="1">
        <v>0.51418236035197684</v>
      </c>
      <c r="AM39" s="1">
        <v>0.41955072411250555</v>
      </c>
      <c r="AN39" s="1">
        <v>0.35727308996232549</v>
      </c>
      <c r="AO39" s="1">
        <v>0.2405293409894915</v>
      </c>
      <c r="AP39" s="1">
        <v>0.28257131790924422</v>
      </c>
      <c r="AQ39" s="1">
        <v>0.10754129512866394</v>
      </c>
      <c r="AR39" s="1">
        <v>6.4361890332847713E-2</v>
      </c>
      <c r="AS39" s="1">
        <v>6.2029093848421223E-2</v>
      </c>
      <c r="AT39" s="1">
        <v>1.8912956803809694E-2</v>
      </c>
      <c r="AU39" s="1">
        <v>0.18933987424198756</v>
      </c>
      <c r="AV39" s="1">
        <v>-0.17930409786956933</v>
      </c>
      <c r="AW39" s="1">
        <v>0.34453818916674711</v>
      </c>
      <c r="AX39" s="1">
        <v>-6.9272413681211759E-2</v>
      </c>
      <c r="AY39" s="1">
        <v>0.43548897933567488</v>
      </c>
    </row>
    <row r="40" spans="4:51" x14ac:dyDescent="0.35">
      <c r="D40" t="s">
        <v>54</v>
      </c>
      <c r="E40" s="1">
        <v>0.68949407954034958</v>
      </c>
      <c r="F40" s="1">
        <v>0.6564153527707064</v>
      </c>
      <c r="G40" s="1">
        <v>0.57620557743012746</v>
      </c>
      <c r="H40" s="1">
        <v>0.68881312638831216</v>
      </c>
      <c r="I40" s="1">
        <v>0.5565325612629145</v>
      </c>
      <c r="J40" s="1">
        <v>0.55670884711062596</v>
      </c>
      <c r="K40" s="1">
        <v>0.38533660141082032</v>
      </c>
      <c r="L40" s="1">
        <v>0.41156367404515515</v>
      </c>
      <c r="M40" s="1">
        <v>0.38209765965057468</v>
      </c>
      <c r="N40" s="1">
        <v>0.31568851581961216</v>
      </c>
      <c r="O40" s="1">
        <v>0.50016303350762281</v>
      </c>
      <c r="P40" s="1">
        <v>0.40622315174059914</v>
      </c>
      <c r="Q40" s="1">
        <v>0.55940993643242198</v>
      </c>
      <c r="R40" s="1">
        <v>0.26925155593822248</v>
      </c>
      <c r="S40" s="1">
        <v>0.55326140868721529</v>
      </c>
      <c r="T40" s="1">
        <v>0.94513987856756299</v>
      </c>
      <c r="U40" s="1">
        <v>0.49537109261333767</v>
      </c>
      <c r="V40" s="1">
        <v>0.80262986639865397</v>
      </c>
      <c r="W40" s="1">
        <v>0.9036914094876537</v>
      </c>
      <c r="X40" s="1">
        <v>1</v>
      </c>
      <c r="Y40" s="1">
        <v>0.78713964759408617</v>
      </c>
      <c r="Z40" s="1">
        <v>0.48406106549311118</v>
      </c>
      <c r="AA40" s="1">
        <v>0.76032220024751374</v>
      </c>
      <c r="AB40" s="1">
        <v>0.79497950503782921</v>
      </c>
      <c r="AC40" s="1">
        <v>0.75764280853970856</v>
      </c>
      <c r="AD40" s="1">
        <v>0.53722716265456683</v>
      </c>
      <c r="AE40" s="1">
        <v>0.5565177317585176</v>
      </c>
      <c r="AF40" s="1">
        <v>0.70631428132536489</v>
      </c>
      <c r="AG40" s="1">
        <v>0.7132170030532814</v>
      </c>
      <c r="AH40" s="1">
        <v>0.51610879411949961</v>
      </c>
      <c r="AI40" s="1">
        <v>0.3373803606564989</v>
      </c>
      <c r="AJ40" s="1">
        <v>0.5640111203371444</v>
      </c>
      <c r="AK40" s="1">
        <v>0.71248585690461885</v>
      </c>
      <c r="AL40" s="1">
        <v>0.54826072066445464</v>
      </c>
      <c r="AM40" s="1">
        <v>0.38872778874815089</v>
      </c>
      <c r="AN40" s="1">
        <v>0.48757469529709424</v>
      </c>
      <c r="AO40" s="1">
        <v>0.30879170563381647</v>
      </c>
      <c r="AP40" s="1">
        <v>0.34326800443233924</v>
      </c>
      <c r="AQ40" s="1">
        <v>0.18072442841732494</v>
      </c>
      <c r="AR40" s="1">
        <v>0.15061724401996407</v>
      </c>
      <c r="AS40" s="1">
        <v>0.14041873082567266</v>
      </c>
      <c r="AT40" s="1">
        <v>8.2092378776106992E-2</v>
      </c>
      <c r="AU40" s="1">
        <v>7.1268876377142118E-2</v>
      </c>
      <c r="AV40" s="1">
        <v>-0.12151052075229253</v>
      </c>
      <c r="AW40" s="1">
        <v>0.29747962432568559</v>
      </c>
      <c r="AX40" s="1">
        <v>9.8294341148156706E-3</v>
      </c>
      <c r="AY40" s="1">
        <v>0.3975991633624269</v>
      </c>
    </row>
    <row r="41" spans="4:51" x14ac:dyDescent="0.35">
      <c r="D41" t="s">
        <v>55</v>
      </c>
      <c r="E41" s="1">
        <v>0.60942034292124547</v>
      </c>
      <c r="F41" s="1">
        <v>0.5846112102369917</v>
      </c>
      <c r="G41" s="1">
        <v>0.5304989857607979</v>
      </c>
      <c r="H41" s="1">
        <v>0.55165746301098462</v>
      </c>
      <c r="I41" s="1">
        <v>0.51895879729258776</v>
      </c>
      <c r="J41" s="1">
        <v>0.52728220981002638</v>
      </c>
      <c r="K41" s="1">
        <v>0.41036781304636988</v>
      </c>
      <c r="L41" s="1">
        <v>0.31098142574592103</v>
      </c>
      <c r="M41" s="1">
        <v>0.24985470585501576</v>
      </c>
      <c r="N41" s="1">
        <v>0.36347899799219957</v>
      </c>
      <c r="O41" s="1">
        <v>0.43267999029189153</v>
      </c>
      <c r="P41" s="1">
        <v>0.48430859500276408</v>
      </c>
      <c r="Q41" s="1">
        <v>0.44514512136281575</v>
      </c>
      <c r="R41" s="1">
        <v>0.19618433102370483</v>
      </c>
      <c r="S41" s="1">
        <v>0.49193386728805172</v>
      </c>
      <c r="T41" s="1">
        <v>0.81693035035244432</v>
      </c>
      <c r="U41" s="1">
        <v>0.40103968764458725</v>
      </c>
      <c r="V41" s="1">
        <v>0.75959736310853199</v>
      </c>
      <c r="W41" s="1">
        <v>0.77148520906006823</v>
      </c>
      <c r="X41" s="1">
        <v>0.78713964759408617</v>
      </c>
      <c r="Y41" s="1">
        <v>1</v>
      </c>
      <c r="Z41" s="1">
        <v>0.40705650186425107</v>
      </c>
      <c r="AA41" s="1">
        <v>0.65143906608687341</v>
      </c>
      <c r="AB41" s="1">
        <v>0.74960938780335795</v>
      </c>
      <c r="AC41" s="1">
        <v>0.75644208274918234</v>
      </c>
      <c r="AD41" s="1">
        <v>0.53775751491395696</v>
      </c>
      <c r="AE41" s="1">
        <v>0.69808800404547677</v>
      </c>
      <c r="AF41" s="1">
        <v>0.6924279885538176</v>
      </c>
      <c r="AG41" s="1">
        <v>0.70451310643371645</v>
      </c>
      <c r="AH41" s="1">
        <v>0.74494479147433978</v>
      </c>
      <c r="AI41" s="1">
        <v>0.37156398645903332</v>
      </c>
      <c r="AJ41" s="1">
        <v>0.70024839584534149</v>
      </c>
      <c r="AK41" s="1">
        <v>0.63153854941607623</v>
      </c>
      <c r="AL41" s="1">
        <v>0.48957233879763407</v>
      </c>
      <c r="AM41" s="1">
        <v>0.368972723962605</v>
      </c>
      <c r="AN41" s="1">
        <v>0.32427449660095603</v>
      </c>
      <c r="AO41" s="1">
        <v>0.23702499501694207</v>
      </c>
      <c r="AP41" s="1">
        <v>0.1948420169572011</v>
      </c>
      <c r="AQ41" s="1">
        <v>8.5839768258378482E-2</v>
      </c>
      <c r="AR41" s="1">
        <v>7.8454271104953593E-2</v>
      </c>
      <c r="AS41" s="1">
        <v>-6.2329951356641369E-3</v>
      </c>
      <c r="AT41" s="1">
        <v>0.14192436483256946</v>
      </c>
      <c r="AU41" s="1">
        <v>-5.5949953127632138E-2</v>
      </c>
      <c r="AV41" s="1">
        <v>-8.0803519465353621E-2</v>
      </c>
      <c r="AW41" s="1">
        <v>0.31527868558159244</v>
      </c>
      <c r="AX41" s="1">
        <v>-0.1191042222436727</v>
      </c>
      <c r="AY41" s="1">
        <v>0.39463204264996882</v>
      </c>
    </row>
    <row r="42" spans="4:51" x14ac:dyDescent="0.35">
      <c r="D42" t="s">
        <v>56</v>
      </c>
      <c r="E42" s="1">
        <v>0.44065498636858896</v>
      </c>
      <c r="F42" s="1">
        <v>0.41291788436951488</v>
      </c>
      <c r="G42" s="1">
        <v>0.36110800970774082</v>
      </c>
      <c r="H42" s="1">
        <v>0.43049671018302993</v>
      </c>
      <c r="I42" s="1">
        <v>0.40929529207424603</v>
      </c>
      <c r="J42" s="1">
        <v>0.27280343260999601</v>
      </c>
      <c r="K42" s="1">
        <v>0.40250549250351558</v>
      </c>
      <c r="L42" s="1">
        <v>0.29944858010760672</v>
      </c>
      <c r="M42" s="1">
        <v>0.26589540833011177</v>
      </c>
      <c r="N42" s="1">
        <v>0.31069666860102785</v>
      </c>
      <c r="O42" s="1">
        <v>0.41138378428310002</v>
      </c>
      <c r="P42" s="1">
        <v>0.39445160263236256</v>
      </c>
      <c r="Q42" s="1">
        <v>0.3884395922638923</v>
      </c>
      <c r="R42" s="1">
        <v>0.13218945372371385</v>
      </c>
      <c r="S42" s="1">
        <v>0.51541940425898569</v>
      </c>
      <c r="T42" s="1">
        <v>0.50179575891654193</v>
      </c>
      <c r="U42" s="1">
        <v>0.89298172078366644</v>
      </c>
      <c r="V42" s="1">
        <v>0.43687074243937746</v>
      </c>
      <c r="W42" s="1">
        <v>0.48536199323698642</v>
      </c>
      <c r="X42" s="1">
        <v>0.48406106549311118</v>
      </c>
      <c r="Y42" s="1">
        <v>0.40705650186425107</v>
      </c>
      <c r="Z42" s="1">
        <v>1</v>
      </c>
      <c r="AA42" s="1">
        <v>0.48450479988035844</v>
      </c>
      <c r="AB42" s="1">
        <v>0.43983155370490001</v>
      </c>
      <c r="AC42" s="1">
        <v>0.41351173575099676</v>
      </c>
      <c r="AD42" s="1">
        <v>0.36854710817795211</v>
      </c>
      <c r="AE42" s="1">
        <v>0.32510985383355012</v>
      </c>
      <c r="AF42" s="1">
        <v>0.3449783406347377</v>
      </c>
      <c r="AG42" s="1">
        <v>0.46122671629124878</v>
      </c>
      <c r="AH42" s="1">
        <v>0.21609151551531652</v>
      </c>
      <c r="AI42" s="1">
        <v>0.26573651378838981</v>
      </c>
      <c r="AJ42" s="1">
        <v>0.33433792104664928</v>
      </c>
      <c r="AK42" s="1">
        <v>0.44807228869973664</v>
      </c>
      <c r="AL42" s="1">
        <v>0.29827658886571035</v>
      </c>
      <c r="AM42" s="1">
        <v>0.21488202047414801</v>
      </c>
      <c r="AN42" s="1">
        <v>0.23275581236361789</v>
      </c>
      <c r="AO42" s="1">
        <v>0.19848069463166998</v>
      </c>
      <c r="AP42" s="1">
        <v>5.0658993939770719E-2</v>
      </c>
      <c r="AQ42" s="1">
        <v>-6.5670561336450897E-2</v>
      </c>
      <c r="AR42" s="1">
        <v>-4.5915240663718403E-2</v>
      </c>
      <c r="AS42" s="1">
        <v>-2.9829197707588982E-3</v>
      </c>
      <c r="AT42" s="1">
        <v>0.37835506381954803</v>
      </c>
      <c r="AU42" s="1">
        <v>-0.195271434341445</v>
      </c>
      <c r="AV42" s="1">
        <v>0.33893857346216533</v>
      </c>
      <c r="AW42" s="1">
        <v>0.10462152859772275</v>
      </c>
      <c r="AX42" s="1">
        <v>-0.10710420997428151</v>
      </c>
      <c r="AY42" s="1">
        <v>0.13491452977451446</v>
      </c>
    </row>
    <row r="43" spans="4:51" x14ac:dyDescent="0.35">
      <c r="D43" t="s">
        <v>57</v>
      </c>
      <c r="E43" s="1">
        <v>0.53696005029468852</v>
      </c>
      <c r="F43" s="1">
        <v>0.52738888796601957</v>
      </c>
      <c r="G43" s="1">
        <v>0.49780386329623161</v>
      </c>
      <c r="H43" s="1">
        <v>0.4955139439650767</v>
      </c>
      <c r="I43" s="1">
        <v>0.37785976954757888</v>
      </c>
      <c r="J43" s="1">
        <v>0.48676669952701662</v>
      </c>
      <c r="K43" s="1">
        <v>0.32819271890094953</v>
      </c>
      <c r="L43" s="1">
        <v>0.29689750085357092</v>
      </c>
      <c r="M43" s="1">
        <v>0.32823507446850947</v>
      </c>
      <c r="N43" s="1">
        <v>0.27523900950184449</v>
      </c>
      <c r="O43" s="1">
        <v>0.43417753177775537</v>
      </c>
      <c r="P43" s="1">
        <v>0.25517447826101358</v>
      </c>
      <c r="Q43" s="1">
        <v>0.44395035029740465</v>
      </c>
      <c r="R43" s="1">
        <v>0.23490535873709723</v>
      </c>
      <c r="S43" s="1">
        <v>0.45985072655964898</v>
      </c>
      <c r="T43" s="1">
        <v>0.79289219474840023</v>
      </c>
      <c r="U43" s="1">
        <v>0.37546942951829271</v>
      </c>
      <c r="V43" s="1">
        <v>0.71132170988290233</v>
      </c>
      <c r="W43" s="1">
        <v>0.77118828463072975</v>
      </c>
      <c r="X43" s="1">
        <v>0.76032220024751374</v>
      </c>
      <c r="Y43" s="1">
        <v>0.65143906608687341</v>
      </c>
      <c r="Z43" s="1">
        <v>0.48450479988035844</v>
      </c>
      <c r="AA43" s="1">
        <v>1</v>
      </c>
      <c r="AB43" s="1">
        <v>0.72240327190703624</v>
      </c>
      <c r="AC43" s="1">
        <v>0.64598204368137047</v>
      </c>
      <c r="AD43" s="1">
        <v>0.50198316937885645</v>
      </c>
      <c r="AE43" s="1">
        <v>0.51786925947931439</v>
      </c>
      <c r="AF43" s="1">
        <v>0.57345465588567968</v>
      </c>
      <c r="AG43" s="1">
        <v>0.65129497453412566</v>
      </c>
      <c r="AH43" s="1">
        <v>0.55772561120451813</v>
      </c>
      <c r="AI43" s="1">
        <v>0.66826872814154603</v>
      </c>
      <c r="AJ43" s="1">
        <v>0.53429003412278253</v>
      </c>
      <c r="AK43" s="1">
        <v>0.58758906503846553</v>
      </c>
      <c r="AL43" s="1">
        <v>0.47472278342135249</v>
      </c>
      <c r="AM43" s="1">
        <v>0.3020637455576165</v>
      </c>
      <c r="AN43" s="1">
        <v>0.39951043319140739</v>
      </c>
      <c r="AO43" s="1">
        <v>0.31844053467253486</v>
      </c>
      <c r="AP43" s="1">
        <v>0.26598923925778334</v>
      </c>
      <c r="AQ43" s="1">
        <v>0.1372988050704011</v>
      </c>
      <c r="AR43" s="1">
        <v>0.10492734502760462</v>
      </c>
      <c r="AS43" s="1">
        <v>9.752759044466712E-2</v>
      </c>
      <c r="AT43" s="1">
        <v>-8.2961051979819386E-2</v>
      </c>
      <c r="AU43" s="1">
        <v>0.12585763809482114</v>
      </c>
      <c r="AV43" s="1">
        <v>-0.19949650780520087</v>
      </c>
      <c r="AW43" s="1">
        <v>0.3136430591968577</v>
      </c>
      <c r="AX43" s="1">
        <v>-3.362421836105129E-2</v>
      </c>
      <c r="AY43" s="1">
        <v>0.35415774513084031</v>
      </c>
    </row>
    <row r="44" spans="4:51" x14ac:dyDescent="0.35">
      <c r="D44" t="s">
        <v>58</v>
      </c>
      <c r="E44" s="1">
        <v>0.61368850688901422</v>
      </c>
      <c r="F44" s="1">
        <v>0.59051789148598943</v>
      </c>
      <c r="G44" s="1">
        <v>0.67707790259996381</v>
      </c>
      <c r="H44" s="1">
        <v>0.47837977166706747</v>
      </c>
      <c r="I44" s="1">
        <v>0.42080051482694741</v>
      </c>
      <c r="J44" s="1">
        <v>0.52879504377638908</v>
      </c>
      <c r="K44" s="1">
        <v>0.23866068342224633</v>
      </c>
      <c r="L44" s="1">
        <v>0.31135737429485488</v>
      </c>
      <c r="M44" s="1">
        <v>0.28096231022415297</v>
      </c>
      <c r="N44" s="1">
        <v>0.28442568030183069</v>
      </c>
      <c r="O44" s="1">
        <v>0.53109725497166616</v>
      </c>
      <c r="P44" s="1">
        <v>0.27615674970094589</v>
      </c>
      <c r="Q44" s="1">
        <v>0.51712460247394187</v>
      </c>
      <c r="R44" s="1">
        <v>0.17882232469668527</v>
      </c>
      <c r="S44" s="1">
        <v>0.44488673996722733</v>
      </c>
      <c r="T44" s="1">
        <v>0.91578907867859682</v>
      </c>
      <c r="U44" s="1">
        <v>0.40477860315599196</v>
      </c>
      <c r="V44" s="1">
        <v>0.98198359868053997</v>
      </c>
      <c r="W44" s="1">
        <v>0.81604438537386614</v>
      </c>
      <c r="X44" s="1">
        <v>0.79497950503782921</v>
      </c>
      <c r="Y44" s="1">
        <v>0.74960938780335795</v>
      </c>
      <c r="Z44" s="1">
        <v>0.43983155370490001</v>
      </c>
      <c r="AA44" s="1">
        <v>0.72240327190703624</v>
      </c>
      <c r="AB44" s="1">
        <v>1</v>
      </c>
      <c r="AC44" s="1">
        <v>0.84386632600282119</v>
      </c>
      <c r="AD44" s="1">
        <v>0.66305049269969152</v>
      </c>
      <c r="AE44" s="1">
        <v>0.78689615390984169</v>
      </c>
      <c r="AF44" s="1">
        <v>0.706105256089682</v>
      </c>
      <c r="AG44" s="1">
        <v>0.73988703528447364</v>
      </c>
      <c r="AH44" s="1">
        <v>0.55081669898606489</v>
      </c>
      <c r="AI44" s="1">
        <v>0.47339826659775414</v>
      </c>
      <c r="AJ44" s="1">
        <v>0.81041258376835601</v>
      </c>
      <c r="AK44" s="1">
        <v>0.72294064276797487</v>
      </c>
      <c r="AL44" s="1">
        <v>0.51472368869394491</v>
      </c>
      <c r="AM44" s="1">
        <v>0.28037375926088354</v>
      </c>
      <c r="AN44" s="1">
        <v>0.38168911323978971</v>
      </c>
      <c r="AO44" s="1">
        <v>0.39338252865048862</v>
      </c>
      <c r="AP44" s="1">
        <v>0.1388940719504442</v>
      </c>
      <c r="AQ44" s="1">
        <v>3.5434826773224015E-2</v>
      </c>
      <c r="AR44" s="1">
        <v>3.0910577570646112E-2</v>
      </c>
      <c r="AS44" s="1">
        <v>4.7889938749974131E-2</v>
      </c>
      <c r="AT44" s="1">
        <v>-2.0306082157082923E-2</v>
      </c>
      <c r="AU44" s="1">
        <v>7.160231227703269E-2</v>
      </c>
      <c r="AV44" s="1">
        <v>-0.15879419991677149</v>
      </c>
      <c r="AW44" s="1">
        <v>0.29364498659988991</v>
      </c>
      <c r="AX44" s="1">
        <v>-0.14971131197593077</v>
      </c>
      <c r="AY44" s="1">
        <v>0.32341665083970617</v>
      </c>
    </row>
    <row r="45" spans="4:51" x14ac:dyDescent="0.35">
      <c r="D45" t="s">
        <v>59</v>
      </c>
      <c r="E45" s="1">
        <v>0.74140417887899468</v>
      </c>
      <c r="F45" s="1">
        <v>0.6641827717845088</v>
      </c>
      <c r="G45" s="1">
        <v>0.72920838032348778</v>
      </c>
      <c r="H45" s="1">
        <v>0.64594139555156571</v>
      </c>
      <c r="I45" s="1">
        <v>0.59296101881347019</v>
      </c>
      <c r="J45" s="1">
        <v>0.57922601468197565</v>
      </c>
      <c r="K45" s="1">
        <v>0.41873159278418937</v>
      </c>
      <c r="L45" s="1">
        <v>0.40781684295815951</v>
      </c>
      <c r="M45" s="1">
        <v>0.33926755545799114</v>
      </c>
      <c r="N45" s="1">
        <v>0.45808348562992873</v>
      </c>
      <c r="O45" s="1">
        <v>0.57966679013080413</v>
      </c>
      <c r="P45" s="1">
        <v>0.35147487697971991</v>
      </c>
      <c r="Q45" s="1">
        <v>0.5356461251132445</v>
      </c>
      <c r="R45" s="1">
        <v>0.26717774495668567</v>
      </c>
      <c r="S45" s="1">
        <v>0.52774840535414902</v>
      </c>
      <c r="T45" s="1">
        <v>0.83008179428363316</v>
      </c>
      <c r="U45" s="1">
        <v>0.37282595008805219</v>
      </c>
      <c r="V45" s="1">
        <v>0.87283428226456472</v>
      </c>
      <c r="W45" s="1">
        <v>0.74265676087261512</v>
      </c>
      <c r="X45" s="1">
        <v>0.75764280853970856</v>
      </c>
      <c r="Y45" s="1">
        <v>0.75644208274918234</v>
      </c>
      <c r="Z45" s="1">
        <v>0.41351173575099676</v>
      </c>
      <c r="AA45" s="1">
        <v>0.64598204368137047</v>
      </c>
      <c r="AB45" s="1">
        <v>0.84386632600282119</v>
      </c>
      <c r="AC45" s="1">
        <v>1</v>
      </c>
      <c r="AD45" s="1">
        <v>0.75667935762251237</v>
      </c>
      <c r="AE45" s="1">
        <v>0.89425101190267176</v>
      </c>
      <c r="AF45" s="1">
        <v>0.9291900832936939</v>
      </c>
      <c r="AG45" s="1">
        <v>0.84767814331041424</v>
      </c>
      <c r="AH45" s="1">
        <v>0.66488044355590448</v>
      </c>
      <c r="AI45" s="1">
        <v>0.57111743413079186</v>
      </c>
      <c r="AJ45" s="1">
        <v>0.87918612012829234</v>
      </c>
      <c r="AK45" s="1">
        <v>0.80030354656973279</v>
      </c>
      <c r="AL45" s="1">
        <v>0.65247589449285459</v>
      </c>
      <c r="AM45" s="1">
        <v>0.44832899329159576</v>
      </c>
      <c r="AN45" s="1">
        <v>0.49067135130627587</v>
      </c>
      <c r="AO45" s="1">
        <v>0.41446739960641116</v>
      </c>
      <c r="AP45" s="1">
        <v>0.20343070346561512</v>
      </c>
      <c r="AQ45" s="1">
        <v>0.27449286841952264</v>
      </c>
      <c r="AR45" s="1">
        <v>0.27461422705074873</v>
      </c>
      <c r="AS45" s="1">
        <v>0.26972864026364995</v>
      </c>
      <c r="AT45" s="1">
        <v>-2.0021641692921012E-2</v>
      </c>
      <c r="AU45" s="1">
        <v>-9.0055286624364697E-2</v>
      </c>
      <c r="AV45" s="1">
        <v>-7.0863105571003879E-2</v>
      </c>
      <c r="AW45" s="1">
        <v>0.33260692187680096</v>
      </c>
      <c r="AX45" s="1">
        <v>-0.13334618620644106</v>
      </c>
      <c r="AY45" s="1">
        <v>0.28648135961807802</v>
      </c>
    </row>
    <row r="46" spans="4:51" x14ac:dyDescent="0.35">
      <c r="D46" t="s">
        <v>60</v>
      </c>
      <c r="E46" s="1">
        <v>0.65039303228907674</v>
      </c>
      <c r="F46" s="1">
        <v>0.58176240674482849</v>
      </c>
      <c r="G46" s="1">
        <v>0.6614652704186702</v>
      </c>
      <c r="H46" s="1">
        <v>0.57484203163110426</v>
      </c>
      <c r="I46" s="1">
        <v>0.50070890240138088</v>
      </c>
      <c r="J46" s="1">
        <v>0.4898272320103671</v>
      </c>
      <c r="K46" s="1">
        <v>0.40130654316884268</v>
      </c>
      <c r="L46" s="1">
        <v>0.3526385844772606</v>
      </c>
      <c r="M46" s="1">
        <v>0.32614230138480566</v>
      </c>
      <c r="N46" s="1">
        <v>0.48843089850866861</v>
      </c>
      <c r="O46" s="1">
        <v>0.626493131403563</v>
      </c>
      <c r="P46" s="1">
        <v>0.27705799216068744</v>
      </c>
      <c r="Q46" s="1">
        <v>0.4915106672354852</v>
      </c>
      <c r="R46" s="1">
        <v>0.21210565213256091</v>
      </c>
      <c r="S46" s="1">
        <v>0.36472972487752098</v>
      </c>
      <c r="T46" s="1">
        <v>0.6090037697934364</v>
      </c>
      <c r="U46" s="1">
        <v>0.24860263319903711</v>
      </c>
      <c r="V46" s="1">
        <v>0.68325601827306726</v>
      </c>
      <c r="W46" s="1">
        <v>0.51682299096057249</v>
      </c>
      <c r="X46" s="1">
        <v>0.53722716265456683</v>
      </c>
      <c r="Y46" s="1">
        <v>0.53775751491395696</v>
      </c>
      <c r="Z46" s="1">
        <v>0.36854710817795211</v>
      </c>
      <c r="AA46" s="1">
        <v>0.50198316937885645</v>
      </c>
      <c r="AB46" s="1">
        <v>0.66305049269969152</v>
      </c>
      <c r="AC46" s="1">
        <v>0.75667935762251237</v>
      </c>
      <c r="AD46" s="1">
        <v>1</v>
      </c>
      <c r="AE46" s="1">
        <v>0.6499829232671791</v>
      </c>
      <c r="AF46" s="1">
        <v>0.662037446460778</v>
      </c>
      <c r="AG46" s="1">
        <v>0.619166803531499</v>
      </c>
      <c r="AH46" s="1">
        <v>0.39773644228545335</v>
      </c>
      <c r="AI46" s="1">
        <v>0.50958927543725674</v>
      </c>
      <c r="AJ46" s="1">
        <v>0.64089337875292107</v>
      </c>
      <c r="AK46" s="1">
        <v>0.66659535737246634</v>
      </c>
      <c r="AL46" s="1">
        <v>0.5015417966266722</v>
      </c>
      <c r="AM46" s="1">
        <v>0.27618341908994753</v>
      </c>
      <c r="AN46" s="1">
        <v>0.41758956466315666</v>
      </c>
      <c r="AO46" s="1">
        <v>0.4834015222676199</v>
      </c>
      <c r="AP46" s="1">
        <v>0.11062738919500213</v>
      </c>
      <c r="AQ46" s="1">
        <v>0.11654584870808518</v>
      </c>
      <c r="AR46" s="1">
        <v>0.14807141963232076</v>
      </c>
      <c r="AS46" s="1">
        <v>6.0898127201897509E-2</v>
      </c>
      <c r="AT46" s="1">
        <v>-0.14680421042979785</v>
      </c>
      <c r="AU46" s="1">
        <v>-8.8976077342251839E-2</v>
      </c>
      <c r="AV46" s="1">
        <v>-7.2809270662348505E-2</v>
      </c>
      <c r="AW46" s="1">
        <v>0.13286547368156079</v>
      </c>
      <c r="AX46" s="1">
        <v>-7.3388311723814575E-2</v>
      </c>
      <c r="AY46" s="1">
        <v>0.20544849850762356</v>
      </c>
    </row>
    <row r="47" spans="4:51" x14ac:dyDescent="0.35">
      <c r="D47" t="s">
        <v>61</v>
      </c>
      <c r="E47" s="1">
        <v>0.51537442902695296</v>
      </c>
      <c r="F47" s="1">
        <v>0.44311370640289044</v>
      </c>
      <c r="G47" s="1">
        <v>0.58078021446152328</v>
      </c>
      <c r="H47" s="1">
        <v>0.40426855788177818</v>
      </c>
      <c r="I47" s="1">
        <v>0.37200314048568461</v>
      </c>
      <c r="J47" s="1">
        <v>0.44734287497276204</v>
      </c>
      <c r="K47" s="1">
        <v>0.25511093513747451</v>
      </c>
      <c r="L47" s="1">
        <v>0.25732899338813592</v>
      </c>
      <c r="M47" s="1">
        <v>0.12263247220694982</v>
      </c>
      <c r="N47" s="1">
        <v>0.41562974078451148</v>
      </c>
      <c r="O47" s="1">
        <v>0.37834136275085156</v>
      </c>
      <c r="P47" s="1">
        <v>0.24310136175829866</v>
      </c>
      <c r="Q47" s="1">
        <v>0.33940939662726743</v>
      </c>
      <c r="R47" s="1">
        <v>0.20531588714147356</v>
      </c>
      <c r="S47" s="1">
        <v>0.37745421692192749</v>
      </c>
      <c r="T47" s="1">
        <v>0.67682376736398675</v>
      </c>
      <c r="U47" s="1">
        <v>0.26675789066250383</v>
      </c>
      <c r="V47" s="1">
        <v>0.8061639079868318</v>
      </c>
      <c r="W47" s="1">
        <v>0.56416929681302908</v>
      </c>
      <c r="X47" s="1">
        <v>0.5565177317585176</v>
      </c>
      <c r="Y47" s="1">
        <v>0.69808800404547677</v>
      </c>
      <c r="Z47" s="1">
        <v>0.32510985383355012</v>
      </c>
      <c r="AA47" s="1">
        <v>0.51786925947931439</v>
      </c>
      <c r="AB47" s="1">
        <v>0.78689615390984169</v>
      </c>
      <c r="AC47" s="1">
        <v>0.89425101190267176</v>
      </c>
      <c r="AD47" s="1">
        <v>0.6499829232671791</v>
      </c>
      <c r="AE47" s="1">
        <v>1</v>
      </c>
      <c r="AF47" s="1">
        <v>0.81227893970290377</v>
      </c>
      <c r="AG47" s="1">
        <v>0.69266016099896299</v>
      </c>
      <c r="AH47" s="1">
        <v>0.60051326231399516</v>
      </c>
      <c r="AI47" s="1">
        <v>0.55642387493055845</v>
      </c>
      <c r="AJ47" s="1">
        <v>0.98884374770411099</v>
      </c>
      <c r="AK47" s="1">
        <v>0.61738785769012883</v>
      </c>
      <c r="AL47" s="1">
        <v>0.55599209112055048</v>
      </c>
      <c r="AM47" s="1">
        <v>0.33696608917418513</v>
      </c>
      <c r="AN47" s="1">
        <v>0.34688105720211637</v>
      </c>
      <c r="AO47" s="1">
        <v>0.34527598944595328</v>
      </c>
      <c r="AP47" s="1">
        <v>3.744150243695691E-2</v>
      </c>
      <c r="AQ47" s="1">
        <v>8.727065455210678E-2</v>
      </c>
      <c r="AR47" s="1">
        <v>0.20060751372662128</v>
      </c>
      <c r="AS47" s="1">
        <v>0.11065000061564739</v>
      </c>
      <c r="AT47" s="1">
        <v>-4.7830344197954205E-2</v>
      </c>
      <c r="AU47" s="1">
        <v>-0.12301048185755012</v>
      </c>
      <c r="AV47" s="1">
        <v>-8.1738463791120569E-2</v>
      </c>
      <c r="AW47" s="1">
        <v>0.25895999354790084</v>
      </c>
      <c r="AX47" s="1">
        <v>-0.19288348166819747</v>
      </c>
      <c r="AY47" s="1">
        <v>0.15443393889388465</v>
      </c>
    </row>
    <row r="48" spans="4:51" x14ac:dyDescent="0.35">
      <c r="D48" t="s">
        <v>62</v>
      </c>
      <c r="E48" s="1">
        <v>0.61288718122571439</v>
      </c>
      <c r="F48" s="1">
        <v>0.5338787934118896</v>
      </c>
      <c r="G48" s="1">
        <v>0.57243922408181014</v>
      </c>
      <c r="H48" s="1">
        <v>0.55681121566172875</v>
      </c>
      <c r="I48" s="1">
        <v>0.52303196474984504</v>
      </c>
      <c r="J48" s="1">
        <v>0.51563568259636272</v>
      </c>
      <c r="K48" s="1">
        <v>0.34166606028304147</v>
      </c>
      <c r="L48" s="1">
        <v>0.31253844500818284</v>
      </c>
      <c r="M48" s="1">
        <v>0.25973999248181445</v>
      </c>
      <c r="N48" s="1">
        <v>0.41438399090066996</v>
      </c>
      <c r="O48" s="1">
        <v>0.4403829368936929</v>
      </c>
      <c r="P48" s="1">
        <v>0.32039726085174064</v>
      </c>
      <c r="Q48" s="1">
        <v>0.39521471181365414</v>
      </c>
      <c r="R48" s="1">
        <v>0.22715529688528699</v>
      </c>
      <c r="S48" s="1">
        <v>0.46381250658769646</v>
      </c>
      <c r="T48" s="1">
        <v>0.72118458481788694</v>
      </c>
      <c r="U48" s="1">
        <v>0.3216709821007524</v>
      </c>
      <c r="V48" s="1">
        <v>0.72589962840220612</v>
      </c>
      <c r="W48" s="1">
        <v>0.65399680307664565</v>
      </c>
      <c r="X48" s="1">
        <v>0.70631428132536489</v>
      </c>
      <c r="Y48" s="1">
        <v>0.6924279885538176</v>
      </c>
      <c r="Z48" s="1">
        <v>0.3449783406347377</v>
      </c>
      <c r="AA48" s="1">
        <v>0.57345465588567968</v>
      </c>
      <c r="AB48" s="1">
        <v>0.706105256089682</v>
      </c>
      <c r="AC48" s="1">
        <v>0.9291900832936939</v>
      </c>
      <c r="AD48" s="1">
        <v>0.662037446460778</v>
      </c>
      <c r="AE48" s="1">
        <v>0.81227893970290377</v>
      </c>
      <c r="AF48" s="1">
        <v>1</v>
      </c>
      <c r="AG48" s="1">
        <v>0.78499383569386127</v>
      </c>
      <c r="AH48" s="1">
        <v>0.65002191876872584</v>
      </c>
      <c r="AI48" s="1">
        <v>0.5535733379139709</v>
      </c>
      <c r="AJ48" s="1">
        <v>0.80387348494561672</v>
      </c>
      <c r="AK48" s="1">
        <v>0.6698468319911326</v>
      </c>
      <c r="AL48" s="1">
        <v>0.58844750559295134</v>
      </c>
      <c r="AM48" s="1">
        <v>0.39361282235193645</v>
      </c>
      <c r="AN48" s="1">
        <v>0.47312819687965868</v>
      </c>
      <c r="AO48" s="1">
        <v>0.35226591869354973</v>
      </c>
      <c r="AP48" s="1">
        <v>0.18463985488208481</v>
      </c>
      <c r="AQ48" s="1">
        <v>0.25696896609061493</v>
      </c>
      <c r="AR48" s="1">
        <v>0.29695283084020729</v>
      </c>
      <c r="AS48" s="1">
        <v>0.28339304410328542</v>
      </c>
      <c r="AT48" s="1">
        <v>-5.4159265573679831E-3</v>
      </c>
      <c r="AU48" s="1">
        <v>-0.16289506163440462</v>
      </c>
      <c r="AV48" s="1">
        <v>-8.2047568535257076E-2</v>
      </c>
      <c r="AW48" s="1">
        <v>0.31509876335477477</v>
      </c>
      <c r="AX48" s="1">
        <v>-1.4992547003126029E-2</v>
      </c>
      <c r="AY48" s="1">
        <v>0.22457955067304733</v>
      </c>
    </row>
    <row r="49" spans="4:51" x14ac:dyDescent="0.35">
      <c r="D49" t="s">
        <v>63</v>
      </c>
      <c r="E49" s="1">
        <v>0.61147489978189018</v>
      </c>
      <c r="F49" s="1">
        <v>0.5474305230400357</v>
      </c>
      <c r="G49" s="1">
        <v>0.54644958953720102</v>
      </c>
      <c r="H49" s="1">
        <v>0.50830497827806642</v>
      </c>
      <c r="I49" s="1">
        <v>0.60392948391882473</v>
      </c>
      <c r="J49" s="1">
        <v>0.4631521589225534</v>
      </c>
      <c r="K49" s="1">
        <v>0.4788678863814661</v>
      </c>
      <c r="L49" s="1">
        <v>0.28355337089741861</v>
      </c>
      <c r="M49" s="1">
        <v>0.34071964271849714</v>
      </c>
      <c r="N49" s="1">
        <v>0.31609499001718583</v>
      </c>
      <c r="O49" s="1">
        <v>0.51029827430153107</v>
      </c>
      <c r="P49" s="1">
        <v>0.41509217056284597</v>
      </c>
      <c r="Q49" s="1">
        <v>0.55386252469641017</v>
      </c>
      <c r="R49" s="1">
        <v>0.21775899525882667</v>
      </c>
      <c r="S49" s="1">
        <v>0.54805239529996408</v>
      </c>
      <c r="T49" s="1">
        <v>0.80536914575038432</v>
      </c>
      <c r="U49" s="1">
        <v>0.42288013835907529</v>
      </c>
      <c r="V49" s="1">
        <v>0.7495850981191341</v>
      </c>
      <c r="W49" s="1">
        <v>0.82196161756107078</v>
      </c>
      <c r="X49" s="1">
        <v>0.7132170030532814</v>
      </c>
      <c r="Y49" s="1">
        <v>0.70451310643371645</v>
      </c>
      <c r="Z49" s="1">
        <v>0.46122671629124878</v>
      </c>
      <c r="AA49" s="1">
        <v>0.65129497453412566</v>
      </c>
      <c r="AB49" s="1">
        <v>0.73988703528447364</v>
      </c>
      <c r="AC49" s="1">
        <v>0.84767814331041424</v>
      </c>
      <c r="AD49" s="1">
        <v>0.619166803531499</v>
      </c>
      <c r="AE49" s="1">
        <v>0.69266016099896299</v>
      </c>
      <c r="AF49" s="1">
        <v>0.78499383569386127</v>
      </c>
      <c r="AG49" s="1">
        <v>1</v>
      </c>
      <c r="AH49" s="1">
        <v>0.66041212342856925</v>
      </c>
      <c r="AI49" s="1">
        <v>0.44777440747408492</v>
      </c>
      <c r="AJ49" s="1">
        <v>0.69220960083145389</v>
      </c>
      <c r="AK49" s="1">
        <v>0.74966034694464156</v>
      </c>
      <c r="AL49" s="1">
        <v>0.54673929941668453</v>
      </c>
      <c r="AM49" s="1">
        <v>0.49140139123084614</v>
      </c>
      <c r="AN49" s="1">
        <v>0.37577463671770545</v>
      </c>
      <c r="AO49" s="1">
        <v>0.31059761415499287</v>
      </c>
      <c r="AP49" s="1">
        <v>0.24270132118540635</v>
      </c>
      <c r="AQ49" s="1">
        <v>0.21063980864998408</v>
      </c>
      <c r="AR49" s="1">
        <v>0.24719152330289329</v>
      </c>
      <c r="AS49" s="1">
        <v>0.21547447949971124</v>
      </c>
      <c r="AT49" s="1">
        <v>-9.6541248108934861E-3</v>
      </c>
      <c r="AU49" s="1">
        <v>1.9195033941812257E-2</v>
      </c>
      <c r="AV49" s="1">
        <v>-0.12042591815185534</v>
      </c>
      <c r="AW49" s="1">
        <v>0.45576810901085635</v>
      </c>
      <c r="AX49" s="1">
        <v>-5.8530481930415247E-2</v>
      </c>
      <c r="AY49" s="1">
        <v>0.41330547074728224</v>
      </c>
    </row>
    <row r="50" spans="4:51" x14ac:dyDescent="0.35">
      <c r="D50" t="s">
        <v>64</v>
      </c>
      <c r="E50" s="1">
        <v>0.440763211655122</v>
      </c>
      <c r="F50" s="1">
        <v>0.40423290618564389</v>
      </c>
      <c r="G50" s="1">
        <v>0.38148036845285566</v>
      </c>
      <c r="H50" s="1">
        <v>0.37636319604577745</v>
      </c>
      <c r="I50" s="1">
        <v>0.42358906265038487</v>
      </c>
      <c r="J50" s="1">
        <v>0.36661573305724876</v>
      </c>
      <c r="K50" s="1">
        <v>0.29831594141620649</v>
      </c>
      <c r="L50" s="1">
        <v>0.22050287631056509</v>
      </c>
      <c r="M50" s="1">
        <v>0.18894130137078061</v>
      </c>
      <c r="N50" s="1">
        <v>0.32429627275660577</v>
      </c>
      <c r="O50" s="1">
        <v>0.32676129970044099</v>
      </c>
      <c r="P50" s="1">
        <v>0.34074886409019006</v>
      </c>
      <c r="Q50" s="1">
        <v>0.36848270144655626</v>
      </c>
      <c r="R50" s="1">
        <v>9.5768812936964695E-2</v>
      </c>
      <c r="S50" s="1">
        <v>0.32546782014136832</v>
      </c>
      <c r="T50" s="1">
        <v>0.57204378134760037</v>
      </c>
      <c r="U50" s="1">
        <v>0.15865539413402724</v>
      </c>
      <c r="V50" s="1">
        <v>0.55790800473119007</v>
      </c>
      <c r="W50" s="1">
        <v>0.55543226834871695</v>
      </c>
      <c r="X50" s="1">
        <v>0.51610879411949961</v>
      </c>
      <c r="Y50" s="1">
        <v>0.74494479147433978</v>
      </c>
      <c r="Z50" s="1">
        <v>0.21609151551531652</v>
      </c>
      <c r="AA50" s="1">
        <v>0.55772561120451813</v>
      </c>
      <c r="AB50" s="1">
        <v>0.55081669898606489</v>
      </c>
      <c r="AC50" s="1">
        <v>0.66488044355590448</v>
      </c>
      <c r="AD50" s="1">
        <v>0.39773644228545335</v>
      </c>
      <c r="AE50" s="1">
        <v>0.60051326231399516</v>
      </c>
      <c r="AF50" s="1">
        <v>0.65002191876872584</v>
      </c>
      <c r="AG50" s="1">
        <v>0.66041212342856925</v>
      </c>
      <c r="AH50" s="1">
        <v>1</v>
      </c>
      <c r="AI50" s="1">
        <v>0.4379288730190587</v>
      </c>
      <c r="AJ50" s="1">
        <v>0.60025628661058528</v>
      </c>
      <c r="AK50" s="1">
        <v>0.54033583093602122</v>
      </c>
      <c r="AL50" s="1">
        <v>0.36756835901774287</v>
      </c>
      <c r="AM50" s="1">
        <v>0.32539039095491457</v>
      </c>
      <c r="AN50" s="1">
        <v>0.27468353478853791</v>
      </c>
      <c r="AO50" s="1">
        <v>0.1812781807869131</v>
      </c>
      <c r="AP50" s="1">
        <v>0.10675090093686575</v>
      </c>
      <c r="AQ50" s="1">
        <v>0.14749304484471143</v>
      </c>
      <c r="AR50" s="1">
        <v>0.13686138541109874</v>
      </c>
      <c r="AS50" s="1">
        <v>0.17283040374909983</v>
      </c>
      <c r="AT50" s="1">
        <v>-3.8941906640395034E-2</v>
      </c>
      <c r="AU50" s="1">
        <v>-0.12212598889169543</v>
      </c>
      <c r="AV50" s="1">
        <v>-0.19077454558194459</v>
      </c>
      <c r="AW50" s="1">
        <v>0.42257218401350749</v>
      </c>
      <c r="AX50" s="1">
        <v>-1.4856833748123232E-2</v>
      </c>
      <c r="AY50" s="1">
        <v>0.37919256223808739</v>
      </c>
    </row>
    <row r="51" spans="4:51" x14ac:dyDescent="0.35">
      <c r="D51" t="s">
        <v>65</v>
      </c>
      <c r="E51" s="1">
        <v>0.29958170789341837</v>
      </c>
      <c r="F51" s="1">
        <v>0.25656464372203097</v>
      </c>
      <c r="G51" s="1">
        <v>0.30392831401589582</v>
      </c>
      <c r="H51" s="1">
        <v>0.24798918803079573</v>
      </c>
      <c r="I51" s="1">
        <v>0.21139449601610782</v>
      </c>
      <c r="J51" s="1">
        <v>0.2046841717441534</v>
      </c>
      <c r="K51" s="1">
        <v>0.13191503250182535</v>
      </c>
      <c r="L51" s="1">
        <v>0.10221208703492297</v>
      </c>
      <c r="M51" s="1">
        <v>4.6110058547467999E-3</v>
      </c>
      <c r="N51" s="1">
        <v>0.20558056954730164</v>
      </c>
      <c r="O51" s="1">
        <v>0.28038734455202158</v>
      </c>
      <c r="P51" s="1">
        <v>0.17382430248850569</v>
      </c>
      <c r="Q51" s="1">
        <v>0.1716783559289051</v>
      </c>
      <c r="R51" s="1">
        <v>0.21959709202915945</v>
      </c>
      <c r="S51" s="1">
        <v>0.1332161080231084</v>
      </c>
      <c r="T51" s="1">
        <v>0.40681017707886291</v>
      </c>
      <c r="U51" s="1">
        <v>0.13134355520864777</v>
      </c>
      <c r="V51" s="1">
        <v>0.48617509739422676</v>
      </c>
      <c r="W51" s="1">
        <v>0.34839872283125878</v>
      </c>
      <c r="X51" s="1">
        <v>0.3373803606564989</v>
      </c>
      <c r="Y51" s="1">
        <v>0.37156398645903332</v>
      </c>
      <c r="Z51" s="1">
        <v>0.26573651378838981</v>
      </c>
      <c r="AA51" s="1">
        <v>0.66826872814154603</v>
      </c>
      <c r="AB51" s="1">
        <v>0.47339826659775414</v>
      </c>
      <c r="AC51" s="1">
        <v>0.57111743413079186</v>
      </c>
      <c r="AD51" s="1">
        <v>0.50958927543725674</v>
      </c>
      <c r="AE51" s="1">
        <v>0.55642387493055845</v>
      </c>
      <c r="AF51" s="1">
        <v>0.5535733379139709</v>
      </c>
      <c r="AG51" s="1">
        <v>0.44777440747408492</v>
      </c>
      <c r="AH51" s="1">
        <v>0.4379288730190587</v>
      </c>
      <c r="AI51" s="1">
        <v>1</v>
      </c>
      <c r="AJ51" s="1">
        <v>0.54973973093447792</v>
      </c>
      <c r="AK51" s="1">
        <v>0.36206242614231288</v>
      </c>
      <c r="AL51" s="1">
        <v>0.42755761185476504</v>
      </c>
      <c r="AM51" s="1">
        <v>0.20993550221015392</v>
      </c>
      <c r="AN51" s="1">
        <v>0.30020465868005769</v>
      </c>
      <c r="AO51" s="1">
        <v>0.2503276529231227</v>
      </c>
      <c r="AP51" s="1">
        <v>6.7704669445554019E-2</v>
      </c>
      <c r="AQ51" s="1">
        <v>0.22815232971579455</v>
      </c>
      <c r="AR51" s="1">
        <v>0.20169763932179258</v>
      </c>
      <c r="AS51" s="1">
        <v>0.15303940716921952</v>
      </c>
      <c r="AT51" s="1">
        <v>-7.3825896222028189E-2</v>
      </c>
      <c r="AU51" s="1">
        <v>-0.1524766422384348</v>
      </c>
      <c r="AV51" s="1">
        <v>-9.4403576832258265E-2</v>
      </c>
      <c r="AW51" s="1">
        <v>2.1842720222246044E-2</v>
      </c>
      <c r="AX51" s="1">
        <v>-7.3195592974421825E-2</v>
      </c>
      <c r="AY51" s="1">
        <v>-3.9408912447277337E-2</v>
      </c>
    </row>
    <row r="52" spans="4:51" x14ac:dyDescent="0.35">
      <c r="D52" t="s">
        <v>66</v>
      </c>
      <c r="E52" s="1">
        <v>0.49671875459406567</v>
      </c>
      <c r="F52" s="1">
        <v>0.43158215641034209</v>
      </c>
      <c r="G52" s="1">
        <v>0.55785928801223617</v>
      </c>
      <c r="H52" s="1">
        <v>0.38900765788896496</v>
      </c>
      <c r="I52" s="1">
        <v>0.36537671462205912</v>
      </c>
      <c r="J52" s="1">
        <v>0.46053286931041609</v>
      </c>
      <c r="K52" s="1">
        <v>0.24428733262163332</v>
      </c>
      <c r="L52" s="1">
        <v>0.23766973396974941</v>
      </c>
      <c r="M52" s="1">
        <v>0.12647835021601406</v>
      </c>
      <c r="N52" s="1">
        <v>0.41666883051895559</v>
      </c>
      <c r="O52" s="1">
        <v>0.36076061567984979</v>
      </c>
      <c r="P52" s="1">
        <v>0.24899218494934577</v>
      </c>
      <c r="Q52" s="1">
        <v>0.31678077918008074</v>
      </c>
      <c r="R52" s="1">
        <v>0.18229783565796057</v>
      </c>
      <c r="S52" s="1">
        <v>0.38854043041156161</v>
      </c>
      <c r="T52" s="1">
        <v>0.67883943419903436</v>
      </c>
      <c r="U52" s="1">
        <v>0.28273344228431824</v>
      </c>
      <c r="V52" s="1">
        <v>0.80159022779743339</v>
      </c>
      <c r="W52" s="1">
        <v>0.5660365256446136</v>
      </c>
      <c r="X52" s="1">
        <v>0.5640111203371444</v>
      </c>
      <c r="Y52" s="1">
        <v>0.70024839584534149</v>
      </c>
      <c r="Z52" s="1">
        <v>0.33433792104664928</v>
      </c>
      <c r="AA52" s="1">
        <v>0.53429003412278253</v>
      </c>
      <c r="AB52" s="1">
        <v>0.81041258376835601</v>
      </c>
      <c r="AC52" s="1">
        <v>0.87918612012829234</v>
      </c>
      <c r="AD52" s="1">
        <v>0.64089337875292107</v>
      </c>
      <c r="AE52" s="1">
        <v>0.98884374770411099</v>
      </c>
      <c r="AF52" s="1">
        <v>0.80387348494561672</v>
      </c>
      <c r="AG52" s="1">
        <v>0.69220960083145389</v>
      </c>
      <c r="AH52" s="1">
        <v>0.60025628661058528</v>
      </c>
      <c r="AI52" s="1">
        <v>0.54973973093447792</v>
      </c>
      <c r="AJ52" s="1">
        <v>1</v>
      </c>
      <c r="AK52" s="1">
        <v>0.59511457493628517</v>
      </c>
      <c r="AL52" s="1">
        <v>0.53146156598369676</v>
      </c>
      <c r="AM52" s="1">
        <v>0.33432934842610734</v>
      </c>
      <c r="AN52" s="1">
        <v>0.34753136445250099</v>
      </c>
      <c r="AO52" s="1">
        <v>0.3405687826555488</v>
      </c>
      <c r="AP52" s="1">
        <v>4.8927013692956739E-2</v>
      </c>
      <c r="AQ52" s="1">
        <v>5.0677680743417088E-2</v>
      </c>
      <c r="AR52" s="1">
        <v>0.18132838983363131</v>
      </c>
      <c r="AS52" s="1">
        <v>8.8828803924529409E-2</v>
      </c>
      <c r="AT52" s="1">
        <v>-4.6845897188325186E-2</v>
      </c>
      <c r="AU52" s="1">
        <v>-0.13130839162634289</v>
      </c>
      <c r="AV52" s="1">
        <v>-9.6424590021109702E-2</v>
      </c>
      <c r="AW52" s="1">
        <v>0.25514816006871383</v>
      </c>
      <c r="AX52" s="1">
        <v>-0.1945751389708914</v>
      </c>
      <c r="AY52" s="1">
        <v>0.15330155093220257</v>
      </c>
    </row>
    <row r="53" spans="4:51" x14ac:dyDescent="0.35">
      <c r="D53" t="s">
        <v>67</v>
      </c>
      <c r="E53" s="1">
        <v>0.81002744975047702</v>
      </c>
      <c r="F53" s="1">
        <v>0.76550172819897377</v>
      </c>
      <c r="G53" s="1">
        <v>0.80339939561818496</v>
      </c>
      <c r="H53" s="1">
        <v>0.70608823364056428</v>
      </c>
      <c r="I53" s="1">
        <v>0.61334330968935746</v>
      </c>
      <c r="J53" s="1">
        <v>0.58685347941682109</v>
      </c>
      <c r="K53" s="1">
        <v>0.50242857940364793</v>
      </c>
      <c r="L53" s="1">
        <v>0.49528239272021274</v>
      </c>
      <c r="M53" s="1">
        <v>0.52064947554465824</v>
      </c>
      <c r="N53" s="1">
        <v>0.42395383617689664</v>
      </c>
      <c r="O53" s="1">
        <v>0.70662115153235261</v>
      </c>
      <c r="P53" s="1">
        <v>0.39384323094354845</v>
      </c>
      <c r="Q53" s="1">
        <v>0.93485387372142781</v>
      </c>
      <c r="R53" s="1">
        <v>0.33179055370969796</v>
      </c>
      <c r="S53" s="1">
        <v>0.56265130509806749</v>
      </c>
      <c r="T53" s="1">
        <v>0.7746157851042863</v>
      </c>
      <c r="U53" s="1">
        <v>0.35928897827277473</v>
      </c>
      <c r="V53" s="1">
        <v>0.76152982287795434</v>
      </c>
      <c r="W53" s="1">
        <v>0.72718680288893633</v>
      </c>
      <c r="X53" s="1">
        <v>0.71248585690461885</v>
      </c>
      <c r="Y53" s="1">
        <v>0.63153854941607623</v>
      </c>
      <c r="Z53" s="1">
        <v>0.44807228869973664</v>
      </c>
      <c r="AA53" s="1">
        <v>0.58758906503846553</v>
      </c>
      <c r="AB53" s="1">
        <v>0.72294064276797487</v>
      </c>
      <c r="AC53" s="1">
        <v>0.80030354656973279</v>
      </c>
      <c r="AD53" s="1">
        <v>0.66659535737246634</v>
      </c>
      <c r="AE53" s="1">
        <v>0.61738785769012883</v>
      </c>
      <c r="AF53" s="1">
        <v>0.6698468319911326</v>
      </c>
      <c r="AG53" s="1">
        <v>0.74966034694464156</v>
      </c>
      <c r="AH53" s="1">
        <v>0.54033583093602122</v>
      </c>
      <c r="AI53" s="1">
        <v>0.36206242614231288</v>
      </c>
      <c r="AJ53" s="1">
        <v>0.59511457493628517</v>
      </c>
      <c r="AK53" s="1">
        <v>1</v>
      </c>
      <c r="AL53" s="1">
        <v>0.61588044882142901</v>
      </c>
      <c r="AM53" s="1">
        <v>0.40972622183924579</v>
      </c>
      <c r="AN53" s="1">
        <v>0.43303090720969184</v>
      </c>
      <c r="AO53" s="1">
        <v>0.45250669476607913</v>
      </c>
      <c r="AP53" s="1">
        <v>0.13705662709853314</v>
      </c>
      <c r="AQ53" s="1">
        <v>0.23171579551354446</v>
      </c>
      <c r="AR53" s="1">
        <v>8.0178730734038015E-2</v>
      </c>
      <c r="AS53" s="1">
        <v>0.17818944960846481</v>
      </c>
      <c r="AT53" s="1">
        <v>-2.1455226117865645E-3</v>
      </c>
      <c r="AU53" s="1">
        <v>9.7196438787549091E-2</v>
      </c>
      <c r="AV53" s="1">
        <v>-3.0306990181346746E-2</v>
      </c>
      <c r="AW53" s="1">
        <v>0.35841070270707903</v>
      </c>
      <c r="AX53" s="1">
        <v>-0.18791859093881053</v>
      </c>
      <c r="AY53" s="1">
        <v>0.37516693716807697</v>
      </c>
    </row>
    <row r="54" spans="4:51" x14ac:dyDescent="0.35">
      <c r="D54" t="s">
        <v>68</v>
      </c>
      <c r="E54" s="1">
        <v>0.5367993129671198</v>
      </c>
      <c r="F54" s="1">
        <v>0.45211153174905239</v>
      </c>
      <c r="G54" s="1">
        <v>0.55624746698008776</v>
      </c>
      <c r="H54" s="1">
        <v>0.44804434170144858</v>
      </c>
      <c r="I54" s="1">
        <v>0.46692132687241722</v>
      </c>
      <c r="J54" s="1">
        <v>0.43350507825337065</v>
      </c>
      <c r="K54" s="1">
        <v>0.36985436530255544</v>
      </c>
      <c r="L54" s="1">
        <v>0.21763478544680814</v>
      </c>
      <c r="M54" s="1">
        <v>0.24775539255891912</v>
      </c>
      <c r="N54" s="1">
        <v>0.22571502406727481</v>
      </c>
      <c r="O54" s="1">
        <v>0.41296165819021868</v>
      </c>
      <c r="P54" s="1">
        <v>0.33867460639076075</v>
      </c>
      <c r="Q54" s="1">
        <v>0.48160478681209651</v>
      </c>
      <c r="R54" s="1">
        <v>0.9040920096230104</v>
      </c>
      <c r="S54" s="1">
        <v>0.3473767701367646</v>
      </c>
      <c r="T54" s="1">
        <v>0.56709378698590962</v>
      </c>
      <c r="U54" s="1">
        <v>0.28581129514749604</v>
      </c>
      <c r="V54" s="1">
        <v>0.55231700228058012</v>
      </c>
      <c r="W54" s="1">
        <v>0.51418236035197684</v>
      </c>
      <c r="X54" s="1">
        <v>0.54826072066445464</v>
      </c>
      <c r="Y54" s="1">
        <v>0.48957233879763407</v>
      </c>
      <c r="Z54" s="1">
        <v>0.29827658886571035</v>
      </c>
      <c r="AA54" s="1">
        <v>0.47472278342135249</v>
      </c>
      <c r="AB54" s="1">
        <v>0.51472368869394491</v>
      </c>
      <c r="AC54" s="1">
        <v>0.65247589449285459</v>
      </c>
      <c r="AD54" s="1">
        <v>0.5015417966266722</v>
      </c>
      <c r="AE54" s="1">
        <v>0.55599209112055048</v>
      </c>
      <c r="AF54" s="1">
        <v>0.58844750559295134</v>
      </c>
      <c r="AG54" s="1">
        <v>0.54673929941668453</v>
      </c>
      <c r="AH54" s="1">
        <v>0.36756835901774287</v>
      </c>
      <c r="AI54" s="1">
        <v>0.42755761185476504</v>
      </c>
      <c r="AJ54" s="1">
        <v>0.53146156598369676</v>
      </c>
      <c r="AK54" s="1">
        <v>0.61588044882142901</v>
      </c>
      <c r="AL54" s="1">
        <v>1</v>
      </c>
      <c r="AM54" s="1">
        <v>0.18047421072759948</v>
      </c>
      <c r="AN54" s="1">
        <v>0.18583742056689054</v>
      </c>
      <c r="AO54" s="1">
        <v>0.146609367879733</v>
      </c>
      <c r="AP54" s="1">
        <v>-0.13544999692354112</v>
      </c>
      <c r="AQ54" s="1">
        <v>0.20155820982450837</v>
      </c>
      <c r="AR54" s="1">
        <v>0.20861405460434307</v>
      </c>
      <c r="AS54" s="1">
        <v>0.27711902192630927</v>
      </c>
      <c r="AT54" s="1">
        <v>-9.3458952291581472E-3</v>
      </c>
      <c r="AU54" s="1">
        <v>6.3298244495023609E-2</v>
      </c>
      <c r="AV54" s="1">
        <v>-2.7786218374226082E-2</v>
      </c>
      <c r="AW54" s="1">
        <v>0.17339865679032326</v>
      </c>
      <c r="AX54" s="1">
        <v>-0.10928541093916588</v>
      </c>
      <c r="AY54" s="1">
        <v>9.8779506498458E-2</v>
      </c>
    </row>
    <row r="55" spans="4:51" x14ac:dyDescent="0.35">
      <c r="D55" t="s">
        <v>69</v>
      </c>
      <c r="E55" s="1">
        <v>0.44807541523401756</v>
      </c>
      <c r="F55" s="1">
        <v>0.36876045351436199</v>
      </c>
      <c r="G55" s="1">
        <v>0.32853150293565159</v>
      </c>
      <c r="H55" s="1">
        <v>0.42760298922330942</v>
      </c>
      <c r="I55" s="1">
        <v>0.54111266886526699</v>
      </c>
      <c r="J55" s="1">
        <v>0.31135608536396459</v>
      </c>
      <c r="K55" s="1">
        <v>0.67051209768819775</v>
      </c>
      <c r="L55" s="1">
        <v>0.32096618990347836</v>
      </c>
      <c r="M55" s="1">
        <v>0.31734581530904099</v>
      </c>
      <c r="N55" s="1">
        <v>0.26466284862589662</v>
      </c>
      <c r="O55" s="1">
        <v>0.32582841783983729</v>
      </c>
      <c r="P55" s="1">
        <v>0.31895790823262493</v>
      </c>
      <c r="Q55" s="1">
        <v>0.31455546415041274</v>
      </c>
      <c r="R55" s="1">
        <v>-2.6682365124904947E-2</v>
      </c>
      <c r="S55" s="1">
        <v>0.42800953239628758</v>
      </c>
      <c r="T55" s="1">
        <v>0.38271663628318803</v>
      </c>
      <c r="U55" s="1">
        <v>0.21149020704355706</v>
      </c>
      <c r="V55" s="1">
        <v>0.28988823987529722</v>
      </c>
      <c r="W55" s="1">
        <v>0.41955072411250555</v>
      </c>
      <c r="X55" s="1">
        <v>0.38872778874815089</v>
      </c>
      <c r="Y55" s="1">
        <v>0.368972723962605</v>
      </c>
      <c r="Z55" s="1">
        <v>0.21488202047414801</v>
      </c>
      <c r="AA55" s="1">
        <v>0.3020637455576165</v>
      </c>
      <c r="AB55" s="1">
        <v>0.28037375926088354</v>
      </c>
      <c r="AC55" s="1">
        <v>0.44832899329159576</v>
      </c>
      <c r="AD55" s="1">
        <v>0.27618341908994753</v>
      </c>
      <c r="AE55" s="1">
        <v>0.33696608917418513</v>
      </c>
      <c r="AF55" s="1">
        <v>0.39361282235193645</v>
      </c>
      <c r="AG55" s="1">
        <v>0.49140139123084614</v>
      </c>
      <c r="AH55" s="1">
        <v>0.32539039095491457</v>
      </c>
      <c r="AI55" s="1">
        <v>0.20993550221015392</v>
      </c>
      <c r="AJ55" s="1">
        <v>0.33432934842610734</v>
      </c>
      <c r="AK55" s="1">
        <v>0.40972622183924579</v>
      </c>
      <c r="AL55" s="1">
        <v>0.18047421072759948</v>
      </c>
      <c r="AM55" s="1">
        <v>1</v>
      </c>
      <c r="AN55" s="1">
        <v>0.57432176140123847</v>
      </c>
      <c r="AO55" s="1">
        <v>0.27193840181248602</v>
      </c>
      <c r="AP55" s="1">
        <v>0.46454619854293089</v>
      </c>
      <c r="AQ55" s="1">
        <v>0.26020564280233266</v>
      </c>
      <c r="AR55" s="1">
        <v>0.15599122065248355</v>
      </c>
      <c r="AS55" s="1">
        <v>0.18967953162223788</v>
      </c>
      <c r="AT55" s="1">
        <v>0.12221207682816852</v>
      </c>
      <c r="AU55" s="1">
        <v>-3.6887469554835545E-2</v>
      </c>
      <c r="AV55" s="1">
        <v>9.2655143517040933E-2</v>
      </c>
      <c r="AW55" s="1">
        <v>0.15449622243714473</v>
      </c>
      <c r="AX55" s="1">
        <v>-0.13091765663544191</v>
      </c>
      <c r="AY55" s="1">
        <v>0.15669776052920495</v>
      </c>
    </row>
    <row r="56" spans="4:51" x14ac:dyDescent="0.35">
      <c r="D56" t="s">
        <v>70</v>
      </c>
      <c r="E56" s="1">
        <v>0.50222468209290139</v>
      </c>
      <c r="F56" s="1">
        <v>0.40257951523144936</v>
      </c>
      <c r="G56" s="1">
        <v>0.41670134578389934</v>
      </c>
      <c r="H56" s="1">
        <v>0.59703908587915855</v>
      </c>
      <c r="I56" s="1">
        <v>0.39383691080343414</v>
      </c>
      <c r="J56" s="1">
        <v>0.51046790298157718</v>
      </c>
      <c r="K56" s="1">
        <v>0.29647330938083</v>
      </c>
      <c r="L56" s="1">
        <v>0.48854539813973058</v>
      </c>
      <c r="M56" s="1">
        <v>0.29089264923995228</v>
      </c>
      <c r="N56" s="1">
        <v>0.39896370082932814</v>
      </c>
      <c r="O56" s="1">
        <v>0.33083831321309276</v>
      </c>
      <c r="P56" s="1">
        <v>0.24046806166108781</v>
      </c>
      <c r="Q56" s="1">
        <v>0.32258753373502053</v>
      </c>
      <c r="R56" s="1">
        <v>-4.3750543358699476E-2</v>
      </c>
      <c r="S56" s="1">
        <v>0.40455688584263394</v>
      </c>
      <c r="T56" s="1">
        <v>0.42240518368297447</v>
      </c>
      <c r="U56" s="1">
        <v>0.21956806924735531</v>
      </c>
      <c r="V56" s="1">
        <v>0.3895738664600556</v>
      </c>
      <c r="W56" s="1">
        <v>0.35727308996232549</v>
      </c>
      <c r="X56" s="1">
        <v>0.48757469529709424</v>
      </c>
      <c r="Y56" s="1">
        <v>0.32427449660095603</v>
      </c>
      <c r="Z56" s="1">
        <v>0.23275581236361789</v>
      </c>
      <c r="AA56" s="1">
        <v>0.39951043319140739</v>
      </c>
      <c r="AB56" s="1">
        <v>0.38168911323978971</v>
      </c>
      <c r="AC56" s="1">
        <v>0.49067135130627587</v>
      </c>
      <c r="AD56" s="1">
        <v>0.41758956466315666</v>
      </c>
      <c r="AE56" s="1">
        <v>0.34688105720211637</v>
      </c>
      <c r="AF56" s="1">
        <v>0.47312819687965868</v>
      </c>
      <c r="AG56" s="1">
        <v>0.37577463671770545</v>
      </c>
      <c r="AH56" s="1">
        <v>0.27468353478853791</v>
      </c>
      <c r="AI56" s="1">
        <v>0.30020465868005769</v>
      </c>
      <c r="AJ56" s="1">
        <v>0.34753136445250099</v>
      </c>
      <c r="AK56" s="1">
        <v>0.43303090720969184</v>
      </c>
      <c r="AL56" s="1">
        <v>0.18583742056689054</v>
      </c>
      <c r="AM56" s="1">
        <v>0.57432176140123847</v>
      </c>
      <c r="AN56" s="1">
        <v>1</v>
      </c>
      <c r="AO56" s="1">
        <v>0.55032785120726846</v>
      </c>
      <c r="AP56" s="1">
        <v>0.40795250645996201</v>
      </c>
      <c r="AQ56" s="1">
        <v>0.31909848801933977</v>
      </c>
      <c r="AR56" s="1">
        <v>0.22746534089348694</v>
      </c>
      <c r="AS56" s="1">
        <v>0.2417124384234671</v>
      </c>
      <c r="AT56" s="1">
        <v>0.10851572247162831</v>
      </c>
      <c r="AU56" s="1">
        <v>-0.17087184520821566</v>
      </c>
      <c r="AV56" s="1">
        <v>8.2637993730577439E-2</v>
      </c>
      <c r="AW56" s="1">
        <v>9.2208821896664239E-2</v>
      </c>
      <c r="AX56" s="1">
        <v>3.027118710524394E-2</v>
      </c>
      <c r="AY56" s="1">
        <v>0.21348742648597865</v>
      </c>
    </row>
    <row r="57" spans="4:51" x14ac:dyDescent="0.35">
      <c r="D57" t="s">
        <v>71</v>
      </c>
      <c r="E57" s="1">
        <v>0.37966891729647578</v>
      </c>
      <c r="F57" s="1">
        <v>0.3644847551147033</v>
      </c>
      <c r="G57" s="1">
        <v>0.44613190860956231</v>
      </c>
      <c r="H57" s="1">
        <v>0.3453809237081979</v>
      </c>
      <c r="I57" s="1">
        <v>0.19430547858351613</v>
      </c>
      <c r="J57" s="1">
        <v>0.36097613555123359</v>
      </c>
      <c r="K57" s="1">
        <v>0.19018866510837143</v>
      </c>
      <c r="L57" s="1">
        <v>0.38321426518680818</v>
      </c>
      <c r="M57" s="1">
        <v>0.41415108234309178</v>
      </c>
      <c r="N57" s="1">
        <v>0.26319949487282696</v>
      </c>
      <c r="O57" s="1">
        <v>0.4268585711104132</v>
      </c>
      <c r="P57" s="1">
        <v>0.1958393311049958</v>
      </c>
      <c r="Q57" s="1">
        <v>0.39039846177081666</v>
      </c>
      <c r="R57" s="1">
        <v>-5.1280922717790188E-2</v>
      </c>
      <c r="S57" s="1">
        <v>0.32235830080189615</v>
      </c>
      <c r="T57" s="1">
        <v>0.33388907863843653</v>
      </c>
      <c r="U57" s="1">
        <v>0.17320460098023788</v>
      </c>
      <c r="V57" s="1">
        <v>0.40311598106844682</v>
      </c>
      <c r="W57" s="1">
        <v>0.2405293409894915</v>
      </c>
      <c r="X57" s="1">
        <v>0.30879170563381647</v>
      </c>
      <c r="Y57" s="1">
        <v>0.23702499501694207</v>
      </c>
      <c r="Z57" s="1">
        <v>0.19848069463166998</v>
      </c>
      <c r="AA57" s="1">
        <v>0.31844053467253486</v>
      </c>
      <c r="AB57" s="1">
        <v>0.39338252865048862</v>
      </c>
      <c r="AC57" s="1">
        <v>0.41446739960641116</v>
      </c>
      <c r="AD57" s="1">
        <v>0.4834015222676199</v>
      </c>
      <c r="AE57" s="1">
        <v>0.34527598944595328</v>
      </c>
      <c r="AF57" s="1">
        <v>0.35226591869354973</v>
      </c>
      <c r="AG57" s="1">
        <v>0.31059761415499287</v>
      </c>
      <c r="AH57" s="1">
        <v>0.1812781807869131</v>
      </c>
      <c r="AI57" s="1">
        <v>0.2503276529231227</v>
      </c>
      <c r="AJ57" s="1">
        <v>0.3405687826555488</v>
      </c>
      <c r="AK57" s="1">
        <v>0.45250669476607913</v>
      </c>
      <c r="AL57" s="1">
        <v>0.146609367879733</v>
      </c>
      <c r="AM57" s="1">
        <v>0.27193840181248602</v>
      </c>
      <c r="AN57" s="1">
        <v>0.55032785120726846</v>
      </c>
      <c r="AO57" s="1">
        <v>1</v>
      </c>
      <c r="AP57" s="1">
        <v>0.21989603610021766</v>
      </c>
      <c r="AQ57" s="1">
        <v>0.26723668619636914</v>
      </c>
      <c r="AR57" s="1">
        <v>0.13646669123946384</v>
      </c>
      <c r="AS57" s="1">
        <v>0.15174508868994646</v>
      </c>
      <c r="AT57" s="1">
        <v>8.1712672384559482E-2</v>
      </c>
      <c r="AU57" s="1">
        <v>-2.7098114598958115E-2</v>
      </c>
      <c r="AV57" s="1">
        <v>0.10585724837597837</v>
      </c>
      <c r="AW57" s="1">
        <v>0.21711498799900064</v>
      </c>
      <c r="AX57" s="1">
        <v>0.10437584731722289</v>
      </c>
      <c r="AY57" s="1">
        <v>0.24240577518200801</v>
      </c>
    </row>
    <row r="58" spans="4:51" x14ac:dyDescent="0.35">
      <c r="D58" t="s">
        <v>72</v>
      </c>
      <c r="E58" s="1">
        <v>0.25384428863299352</v>
      </c>
      <c r="F58" s="1">
        <v>0.20070539694341102</v>
      </c>
      <c r="G58" s="1">
        <v>9.3000406355793458E-2</v>
      </c>
      <c r="H58" s="1">
        <v>0.37750791422009228</v>
      </c>
      <c r="I58" s="1">
        <v>0.26501692024380274</v>
      </c>
      <c r="J58" s="1">
        <v>0.17728785837654987</v>
      </c>
      <c r="K58" s="1">
        <v>0.25625758499487439</v>
      </c>
      <c r="L58" s="1">
        <v>0.30468303886076509</v>
      </c>
      <c r="M58" s="1">
        <v>0.14149646456170237</v>
      </c>
      <c r="N58" s="1">
        <v>0.29530989260809909</v>
      </c>
      <c r="O58" s="1">
        <v>0.13258869746755766</v>
      </c>
      <c r="P58" s="1">
        <v>0.12891985586561869</v>
      </c>
      <c r="Q58" s="1">
        <v>7.7326800859475547E-2</v>
      </c>
      <c r="R58" s="1">
        <v>-0.28673120740737623</v>
      </c>
      <c r="S58" s="1">
        <v>0.34447476785814785</v>
      </c>
      <c r="T58" s="1">
        <v>0.25978990223429027</v>
      </c>
      <c r="U58" s="1">
        <v>9.0777850899075627E-2</v>
      </c>
      <c r="V58" s="1">
        <v>0.132652443523156</v>
      </c>
      <c r="W58" s="1">
        <v>0.28257131790924422</v>
      </c>
      <c r="X58" s="1">
        <v>0.34326800443233924</v>
      </c>
      <c r="Y58" s="1">
        <v>0.1948420169572011</v>
      </c>
      <c r="Z58" s="1">
        <v>5.0658993939770719E-2</v>
      </c>
      <c r="AA58" s="1">
        <v>0.26598923925778334</v>
      </c>
      <c r="AB58" s="1">
        <v>0.1388940719504442</v>
      </c>
      <c r="AC58" s="1">
        <v>0.20343070346561512</v>
      </c>
      <c r="AD58" s="1">
        <v>0.11062738919500213</v>
      </c>
      <c r="AE58" s="1">
        <v>3.744150243695691E-2</v>
      </c>
      <c r="AF58" s="1">
        <v>0.18463985488208481</v>
      </c>
      <c r="AG58" s="1">
        <v>0.24270132118540635</v>
      </c>
      <c r="AH58" s="1">
        <v>0.10675090093686575</v>
      </c>
      <c r="AI58" s="1">
        <v>6.7704669445554019E-2</v>
      </c>
      <c r="AJ58" s="1">
        <v>4.8927013692956739E-2</v>
      </c>
      <c r="AK58" s="1">
        <v>0.13705662709853314</v>
      </c>
      <c r="AL58" s="1">
        <v>-0.13544999692354112</v>
      </c>
      <c r="AM58" s="1">
        <v>0.46454619854293089</v>
      </c>
      <c r="AN58" s="1">
        <v>0.40795250645996201</v>
      </c>
      <c r="AO58" s="1">
        <v>0.21989603610021766</v>
      </c>
      <c r="AP58" s="1">
        <v>1</v>
      </c>
      <c r="AQ58" s="1">
        <v>0.23311436988385287</v>
      </c>
      <c r="AR58" s="1">
        <v>0.11580358136226977</v>
      </c>
      <c r="AS58" s="1">
        <v>0.11933616090632666</v>
      </c>
      <c r="AT58" s="1">
        <v>6.3025966804597849E-2</v>
      </c>
      <c r="AU58" s="1">
        <v>-1.6762499414575294E-2</v>
      </c>
      <c r="AV58" s="1">
        <v>4.5718808781527308E-2</v>
      </c>
      <c r="AW58" s="1">
        <v>0.16516513501489785</v>
      </c>
      <c r="AX58" s="1">
        <v>0.10368098426098586</v>
      </c>
      <c r="AY58" s="1">
        <v>0.20456593529337938</v>
      </c>
    </row>
    <row r="59" spans="4:51" x14ac:dyDescent="0.35">
      <c r="D59" t="s">
        <v>73</v>
      </c>
      <c r="E59" s="1">
        <v>0.27230412059302211</v>
      </c>
      <c r="F59" s="1">
        <v>0.2136569253233136</v>
      </c>
      <c r="G59" s="1">
        <v>0.19553916312388117</v>
      </c>
      <c r="H59" s="1">
        <v>0.30107161859437198</v>
      </c>
      <c r="I59" s="1">
        <v>0.26152479898830439</v>
      </c>
      <c r="J59" s="1">
        <v>0.15724198197675446</v>
      </c>
      <c r="K59" s="1">
        <v>0.19287253940396584</v>
      </c>
      <c r="L59" s="1">
        <v>0.3403902587290894</v>
      </c>
      <c r="M59" s="1">
        <v>0.24079403142238923</v>
      </c>
      <c r="N59" s="1">
        <v>2.6254393305086929E-2</v>
      </c>
      <c r="O59" s="1">
        <v>0.20710477891846948</v>
      </c>
      <c r="P59" s="1">
        <v>0.20033533215344507</v>
      </c>
      <c r="Q59" s="1">
        <v>0.16424606066306752</v>
      </c>
      <c r="R59" s="1">
        <v>9.702630690447768E-2</v>
      </c>
      <c r="S59" s="1">
        <v>0.11174931105727719</v>
      </c>
      <c r="T59" s="1">
        <v>0.12491325222427406</v>
      </c>
      <c r="U59" s="1">
        <v>-5.3330375615423704E-2</v>
      </c>
      <c r="V59" s="1">
        <v>8.346018843554516E-2</v>
      </c>
      <c r="W59" s="1">
        <v>0.10754129512866394</v>
      </c>
      <c r="X59" s="1">
        <v>0.18072442841732494</v>
      </c>
      <c r="Y59" s="1">
        <v>8.5839768258378482E-2</v>
      </c>
      <c r="Z59" s="1">
        <v>-6.5670561336450897E-2</v>
      </c>
      <c r="AA59" s="1">
        <v>0.1372988050704011</v>
      </c>
      <c r="AB59" s="1">
        <v>3.5434826773224015E-2</v>
      </c>
      <c r="AC59" s="1">
        <v>0.27449286841952264</v>
      </c>
      <c r="AD59" s="1">
        <v>0.11654584870808518</v>
      </c>
      <c r="AE59" s="1">
        <v>8.727065455210678E-2</v>
      </c>
      <c r="AF59" s="1">
        <v>0.25696896609061493</v>
      </c>
      <c r="AG59" s="1">
        <v>0.21063980864998408</v>
      </c>
      <c r="AH59" s="1">
        <v>0.14749304484471143</v>
      </c>
      <c r="AI59" s="1">
        <v>0.22815232971579455</v>
      </c>
      <c r="AJ59" s="1">
        <v>5.0677680743417088E-2</v>
      </c>
      <c r="AK59" s="1">
        <v>0.23171579551354446</v>
      </c>
      <c r="AL59" s="1">
        <v>0.20155820982450837</v>
      </c>
      <c r="AM59" s="1">
        <v>0.26020564280233266</v>
      </c>
      <c r="AN59" s="1">
        <v>0.31909848801933977</v>
      </c>
      <c r="AO59" s="1">
        <v>0.26723668619636914</v>
      </c>
      <c r="AP59" s="1">
        <v>0.23311436988385287</v>
      </c>
      <c r="AQ59" s="1">
        <v>1</v>
      </c>
      <c r="AR59" s="1">
        <v>0.59926119752642937</v>
      </c>
      <c r="AS59" s="1">
        <v>0.77928921017812025</v>
      </c>
      <c r="AT59" s="1">
        <v>7.7300693956197236E-2</v>
      </c>
      <c r="AU59" s="1">
        <v>-2.0118274543280471E-2</v>
      </c>
      <c r="AV59" s="1">
        <v>6.3531118920159224E-2</v>
      </c>
      <c r="AW59" s="1">
        <v>0.27418120275688701</v>
      </c>
      <c r="AX59" s="1">
        <v>5.7340874306807149E-2</v>
      </c>
      <c r="AY59" s="1">
        <v>0.25533614104269614</v>
      </c>
    </row>
    <row r="60" spans="4:51" x14ac:dyDescent="0.35">
      <c r="D60" t="s">
        <v>74</v>
      </c>
      <c r="E60" s="1">
        <v>0.15346118357111574</v>
      </c>
      <c r="F60" s="1">
        <v>0.10114113401446918</v>
      </c>
      <c r="G60" s="1">
        <v>0.11001302844455348</v>
      </c>
      <c r="H60" s="1">
        <v>0.19365538937079205</v>
      </c>
      <c r="I60" s="1">
        <v>0.13153502372036821</v>
      </c>
      <c r="J60" s="1">
        <v>5.1512466570166983E-2</v>
      </c>
      <c r="K60" s="1">
        <v>0.10671658417374148</v>
      </c>
      <c r="L60" s="1">
        <v>0.14827762284275178</v>
      </c>
      <c r="M60" s="1">
        <v>0.10574655931771641</v>
      </c>
      <c r="N60" s="1">
        <v>0.18811952880036148</v>
      </c>
      <c r="O60" s="1">
        <v>0.13233971224350904</v>
      </c>
      <c r="P60" s="1">
        <v>3.7154313463776912E-3</v>
      </c>
      <c r="Q60" s="1">
        <v>-5.0048639247006636E-2</v>
      </c>
      <c r="R60" s="1">
        <v>0.11148755023269165</v>
      </c>
      <c r="S60" s="1">
        <v>0.13220990062821217</v>
      </c>
      <c r="T60" s="1">
        <v>8.9256272449655116E-2</v>
      </c>
      <c r="U60" s="1">
        <v>-3.3660824525533248E-2</v>
      </c>
      <c r="V60" s="1">
        <v>5.4280466750918778E-2</v>
      </c>
      <c r="W60" s="1">
        <v>6.4361890332847713E-2</v>
      </c>
      <c r="X60" s="1">
        <v>0.15061724401996407</v>
      </c>
      <c r="Y60" s="1">
        <v>7.8454271104953593E-2</v>
      </c>
      <c r="Z60" s="1">
        <v>-4.5915240663718403E-2</v>
      </c>
      <c r="AA60" s="1">
        <v>0.10492734502760462</v>
      </c>
      <c r="AB60" s="1">
        <v>3.0910577570646112E-2</v>
      </c>
      <c r="AC60" s="1">
        <v>0.27461422705074873</v>
      </c>
      <c r="AD60" s="1">
        <v>0.14807141963232076</v>
      </c>
      <c r="AE60" s="1">
        <v>0.20060751372662128</v>
      </c>
      <c r="AF60" s="1">
        <v>0.29695283084020729</v>
      </c>
      <c r="AG60" s="1">
        <v>0.24719152330289329</v>
      </c>
      <c r="AH60" s="1">
        <v>0.13686138541109874</v>
      </c>
      <c r="AI60" s="1">
        <v>0.20169763932179258</v>
      </c>
      <c r="AJ60" s="1">
        <v>0.18132838983363131</v>
      </c>
      <c r="AK60" s="1">
        <v>8.0178730734038015E-2</v>
      </c>
      <c r="AL60" s="1">
        <v>0.20861405460434307</v>
      </c>
      <c r="AM60" s="1">
        <v>0.15599122065248355</v>
      </c>
      <c r="AN60" s="1">
        <v>0.22746534089348694</v>
      </c>
      <c r="AO60" s="1">
        <v>0.13646669123946384</v>
      </c>
      <c r="AP60" s="1">
        <v>0.11580358136226977</v>
      </c>
      <c r="AQ60" s="1">
        <v>0.59926119752642937</v>
      </c>
      <c r="AR60" s="1">
        <v>1</v>
      </c>
      <c r="AS60" s="1">
        <v>0.6529045181171228</v>
      </c>
      <c r="AT60" s="1">
        <v>-7.7587031173413029E-3</v>
      </c>
      <c r="AU60" s="1">
        <v>-0.18641871248504915</v>
      </c>
      <c r="AV60" s="1">
        <v>-6.9242795989516801E-3</v>
      </c>
      <c r="AW60" s="1">
        <v>0.10922134435112914</v>
      </c>
      <c r="AX60" s="1">
        <v>6.2052394751660397E-2</v>
      </c>
      <c r="AY60" s="1">
        <v>0.10875077899111174</v>
      </c>
    </row>
    <row r="61" spans="4:51" x14ac:dyDescent="0.35">
      <c r="D61" t="s">
        <v>75</v>
      </c>
      <c r="E61" s="1">
        <v>0.20681707674297525</v>
      </c>
      <c r="F61" s="1">
        <v>0.1255478428718097</v>
      </c>
      <c r="G61" s="1">
        <v>0.19286728046662927</v>
      </c>
      <c r="H61" s="1">
        <v>0.21396061686306109</v>
      </c>
      <c r="I61" s="1">
        <v>0.23016843215054655</v>
      </c>
      <c r="J61" s="1">
        <v>0.13857793930158999</v>
      </c>
      <c r="K61" s="1">
        <v>0.15386838716353682</v>
      </c>
      <c r="L61" s="1">
        <v>0.2300868354333942</v>
      </c>
      <c r="M61" s="1">
        <v>0.16274516775787279</v>
      </c>
      <c r="N61" s="1">
        <v>0.16515645506421056</v>
      </c>
      <c r="O61" s="1">
        <v>0.162486330861455</v>
      </c>
      <c r="P61" s="1">
        <v>-1.3667664443357892E-2</v>
      </c>
      <c r="Q61" s="1">
        <v>9.0659997666369452E-2</v>
      </c>
      <c r="R61" s="1">
        <v>0.20243689918473023</v>
      </c>
      <c r="S61" s="1">
        <v>0.13977644708227593</v>
      </c>
      <c r="T61" s="1">
        <v>9.0438688996229283E-2</v>
      </c>
      <c r="U61" s="1">
        <v>-3.3010928080378477E-2</v>
      </c>
      <c r="V61" s="1">
        <v>7.5700069825144434E-2</v>
      </c>
      <c r="W61" s="1">
        <v>6.2029093848421223E-2</v>
      </c>
      <c r="X61" s="1">
        <v>0.14041873082567266</v>
      </c>
      <c r="Y61" s="1">
        <v>-6.2329951356641369E-3</v>
      </c>
      <c r="Z61" s="1">
        <v>-2.9829197707588982E-3</v>
      </c>
      <c r="AA61" s="1">
        <v>9.752759044466712E-2</v>
      </c>
      <c r="AB61" s="1">
        <v>4.7889938749974131E-2</v>
      </c>
      <c r="AC61" s="1">
        <v>0.26972864026364995</v>
      </c>
      <c r="AD61" s="1">
        <v>6.0898127201897509E-2</v>
      </c>
      <c r="AE61" s="1">
        <v>0.11065000061564739</v>
      </c>
      <c r="AF61" s="1">
        <v>0.28339304410328542</v>
      </c>
      <c r="AG61" s="1">
        <v>0.21547447949971124</v>
      </c>
      <c r="AH61" s="1">
        <v>0.17283040374909983</v>
      </c>
      <c r="AI61" s="1">
        <v>0.15303940716921952</v>
      </c>
      <c r="AJ61" s="1">
        <v>8.8828803924529409E-2</v>
      </c>
      <c r="AK61" s="1">
        <v>0.17818944960846481</v>
      </c>
      <c r="AL61" s="1">
        <v>0.27711902192630927</v>
      </c>
      <c r="AM61" s="1">
        <v>0.18967953162223788</v>
      </c>
      <c r="AN61" s="1">
        <v>0.2417124384234671</v>
      </c>
      <c r="AO61" s="1">
        <v>0.15174508868994646</v>
      </c>
      <c r="AP61" s="1">
        <v>0.11933616090632666</v>
      </c>
      <c r="AQ61" s="1">
        <v>0.77928921017812025</v>
      </c>
      <c r="AR61" s="1">
        <v>0.6529045181171228</v>
      </c>
      <c r="AS61" s="1">
        <v>1</v>
      </c>
      <c r="AT61" s="1">
        <v>1.0200199579854059E-2</v>
      </c>
      <c r="AU61" s="1">
        <v>-7.7588810009720593E-2</v>
      </c>
      <c r="AV61" s="1">
        <v>6.0742812296058789E-2</v>
      </c>
      <c r="AW61" s="1">
        <v>0.26007748635157218</v>
      </c>
      <c r="AX61" s="1">
        <v>0.12007899475323006</v>
      </c>
      <c r="AY61" s="1">
        <v>0.1763075557562486</v>
      </c>
    </row>
    <row r="62" spans="4:51" x14ac:dyDescent="0.35">
      <c r="D62" t="s">
        <v>76</v>
      </c>
      <c r="E62" s="1">
        <v>9.9619736616439095E-2</v>
      </c>
      <c r="F62" s="1">
        <v>9.2692103218768071E-2</v>
      </c>
      <c r="G62" s="1">
        <v>3.862257968064816E-2</v>
      </c>
      <c r="H62" s="1">
        <v>8.564649566330898E-2</v>
      </c>
      <c r="I62" s="1">
        <v>0.20814123259417147</v>
      </c>
      <c r="J62" s="1">
        <v>3.0607006513812946E-2</v>
      </c>
      <c r="K62" s="1">
        <v>0.16739981472293078</v>
      </c>
      <c r="L62" s="1">
        <v>0.14683788557747798</v>
      </c>
      <c r="M62" s="1">
        <v>7.5979162322903679E-2</v>
      </c>
      <c r="N62" s="1">
        <v>4.0353845215846756E-2</v>
      </c>
      <c r="O62" s="1">
        <v>8.1541285335696351E-2</v>
      </c>
      <c r="P62" s="1">
        <v>0.43644741679749971</v>
      </c>
      <c r="Q62" s="1">
        <v>1.2981415839131564E-2</v>
      </c>
      <c r="R62" s="1">
        <v>-1.5335411464916923E-2</v>
      </c>
      <c r="S62" s="1">
        <v>0.38334978438046458</v>
      </c>
      <c r="T62" s="1">
        <v>2.9251847567682784E-2</v>
      </c>
      <c r="U62" s="1">
        <v>0.5159166044241712</v>
      </c>
      <c r="V62" s="1">
        <v>-1.7075332968439813E-2</v>
      </c>
      <c r="W62" s="1">
        <v>1.8912956803809694E-2</v>
      </c>
      <c r="X62" s="1">
        <v>8.2092378776106992E-2</v>
      </c>
      <c r="Y62" s="1">
        <v>0.14192436483256946</v>
      </c>
      <c r="Z62" s="1">
        <v>0.37835506381954803</v>
      </c>
      <c r="AA62" s="1">
        <v>-8.2961051979819386E-2</v>
      </c>
      <c r="AB62" s="1">
        <v>-2.0306082157082923E-2</v>
      </c>
      <c r="AC62" s="1">
        <v>-2.0021641692921012E-2</v>
      </c>
      <c r="AD62" s="1">
        <v>-0.14680421042979785</v>
      </c>
      <c r="AE62" s="1">
        <v>-4.7830344197954205E-2</v>
      </c>
      <c r="AF62" s="1">
        <v>-5.4159265573679831E-3</v>
      </c>
      <c r="AG62" s="1">
        <v>-9.6541248108934861E-3</v>
      </c>
      <c r="AH62" s="1">
        <v>-3.8941906640395034E-2</v>
      </c>
      <c r="AI62" s="1">
        <v>-7.3825896222028189E-2</v>
      </c>
      <c r="AJ62" s="1">
        <v>-4.6845897188325186E-2</v>
      </c>
      <c r="AK62" s="1">
        <v>-2.1455226117865645E-3</v>
      </c>
      <c r="AL62" s="1">
        <v>-9.3458952291581472E-3</v>
      </c>
      <c r="AM62" s="1">
        <v>0.12221207682816852</v>
      </c>
      <c r="AN62" s="1">
        <v>0.10851572247162831</v>
      </c>
      <c r="AO62" s="1">
        <v>8.1712672384559482E-2</v>
      </c>
      <c r="AP62" s="1">
        <v>6.3025966804597849E-2</v>
      </c>
      <c r="AQ62" s="1">
        <v>7.7300693956197236E-2</v>
      </c>
      <c r="AR62" s="1">
        <v>-7.7587031173413029E-3</v>
      </c>
      <c r="AS62" s="1">
        <v>1.0200199579854059E-2</v>
      </c>
      <c r="AT62" s="1">
        <v>1</v>
      </c>
      <c r="AU62" s="1">
        <v>-0.18267086981228645</v>
      </c>
      <c r="AV62" s="1">
        <v>0.76022746399870011</v>
      </c>
      <c r="AW62" s="1">
        <v>4.5108515918637862E-2</v>
      </c>
      <c r="AX62" s="1">
        <v>-9.2188184670266515E-2</v>
      </c>
      <c r="AY62" s="1">
        <v>-5.1761002952827968E-3</v>
      </c>
    </row>
    <row r="63" spans="4:51" x14ac:dyDescent="0.35">
      <c r="D63" t="s">
        <v>77</v>
      </c>
      <c r="E63" s="1">
        <v>-1.4927806308047587E-2</v>
      </c>
      <c r="F63" s="1">
        <v>6.2824928232493735E-2</v>
      </c>
      <c r="G63" s="1">
        <v>3.8648734405178201E-2</v>
      </c>
      <c r="H63" s="1">
        <v>-7.7823561215614206E-2</v>
      </c>
      <c r="I63" s="1">
        <v>-8.7960446499091446E-2</v>
      </c>
      <c r="J63" s="1">
        <v>5.1732377166843639E-2</v>
      </c>
      <c r="K63" s="1">
        <v>-4.9790488744098915E-2</v>
      </c>
      <c r="L63" s="1">
        <v>-8.0755093651946983E-2</v>
      </c>
      <c r="M63" s="1">
        <v>0.1527201977400662</v>
      </c>
      <c r="N63" s="1">
        <v>-0.21908768616147589</v>
      </c>
      <c r="O63" s="1">
        <v>-5.5528030812705638E-2</v>
      </c>
      <c r="P63" s="1">
        <v>1.4417565821724643E-2</v>
      </c>
      <c r="Q63" s="1">
        <v>0.19232661325786729</v>
      </c>
      <c r="R63" s="1">
        <v>0.13969166676044528</v>
      </c>
      <c r="S63" s="1">
        <v>5.6795109183238515E-3</v>
      </c>
      <c r="T63" s="1">
        <v>0.13317838666633722</v>
      </c>
      <c r="U63" s="1">
        <v>-0.15639548061046391</v>
      </c>
      <c r="V63" s="1">
        <v>8.338275754792239E-2</v>
      </c>
      <c r="W63" s="1">
        <v>0.18933987424198756</v>
      </c>
      <c r="X63" s="1">
        <v>7.1268876377142118E-2</v>
      </c>
      <c r="Y63" s="1">
        <v>-5.5949953127632138E-2</v>
      </c>
      <c r="Z63" s="1">
        <v>-0.195271434341445</v>
      </c>
      <c r="AA63" s="1">
        <v>0.12585763809482114</v>
      </c>
      <c r="AB63" s="1">
        <v>7.160231227703269E-2</v>
      </c>
      <c r="AC63" s="1">
        <v>-9.0055286624364697E-2</v>
      </c>
      <c r="AD63" s="1">
        <v>-8.8976077342251839E-2</v>
      </c>
      <c r="AE63" s="1">
        <v>-0.12301048185755012</v>
      </c>
      <c r="AF63" s="1">
        <v>-0.16289506163440462</v>
      </c>
      <c r="AG63" s="1">
        <v>1.9195033941812257E-2</v>
      </c>
      <c r="AH63" s="1">
        <v>-0.12212598889169543</v>
      </c>
      <c r="AI63" s="1">
        <v>-0.1524766422384348</v>
      </c>
      <c r="AJ63" s="1">
        <v>-0.13130839162634289</v>
      </c>
      <c r="AK63" s="1">
        <v>9.7196438787549091E-2</v>
      </c>
      <c r="AL63" s="1">
        <v>6.3298244495023609E-2</v>
      </c>
      <c r="AM63" s="1">
        <v>-3.6887469554835545E-2</v>
      </c>
      <c r="AN63" s="1">
        <v>-0.17087184520821566</v>
      </c>
      <c r="AO63" s="1">
        <v>-2.7098114598958115E-2</v>
      </c>
      <c r="AP63" s="1">
        <v>-1.6762499414575294E-2</v>
      </c>
      <c r="AQ63" s="1">
        <v>-2.0118274543280471E-2</v>
      </c>
      <c r="AR63" s="1">
        <v>-0.18641871248504915</v>
      </c>
      <c r="AS63" s="1">
        <v>-7.7588810009720593E-2</v>
      </c>
      <c r="AT63" s="1">
        <v>-0.18267086981228645</v>
      </c>
      <c r="AU63" s="1">
        <v>1</v>
      </c>
      <c r="AV63" s="1">
        <v>-0.31967454025840714</v>
      </c>
      <c r="AW63" s="1">
        <v>0.27127704641291533</v>
      </c>
      <c r="AX63" s="1">
        <v>-6.0258208499549748E-3</v>
      </c>
      <c r="AY63" s="1">
        <v>0.31795432990611838</v>
      </c>
    </row>
    <row r="64" spans="4:51" x14ac:dyDescent="0.35">
      <c r="D64" t="s">
        <v>35</v>
      </c>
      <c r="E64" s="1">
        <v>9.6125389439918413E-2</v>
      </c>
      <c r="F64" s="1">
        <v>6.8802446633992112E-2</v>
      </c>
      <c r="G64" s="1">
        <v>9.3161533145304412E-2</v>
      </c>
      <c r="H64" s="1">
        <v>8.4572641202748683E-2</v>
      </c>
      <c r="I64" s="1">
        <v>0.11296074676445146</v>
      </c>
      <c r="J64" s="1">
        <v>2.2034109902485145E-2</v>
      </c>
      <c r="K64" s="1">
        <v>0.25719767808270083</v>
      </c>
      <c r="L64" s="1">
        <v>0.19188699205456539</v>
      </c>
      <c r="M64" s="1">
        <v>0.13677247128737488</v>
      </c>
      <c r="N64" s="1">
        <v>0.22743087977669066</v>
      </c>
      <c r="O64" s="1">
        <v>0.14065717374110082</v>
      </c>
      <c r="P64" s="1">
        <v>0.24333465883471428</v>
      </c>
      <c r="Q64" s="1">
        <v>-7.3211763509033027E-4</v>
      </c>
      <c r="R64" s="1">
        <v>-1.1520836483762745E-2</v>
      </c>
      <c r="S64" s="1">
        <v>0.38096171359769321</v>
      </c>
      <c r="T64" s="1">
        <v>-0.15920011624962768</v>
      </c>
      <c r="U64" s="1">
        <v>0.33966987071326932</v>
      </c>
      <c r="V64" s="1">
        <v>-0.14275142980150382</v>
      </c>
      <c r="W64" s="1">
        <v>-0.17930409786956933</v>
      </c>
      <c r="X64" s="1">
        <v>-0.12151052075229253</v>
      </c>
      <c r="Y64" s="1">
        <v>-8.0803519465353621E-2</v>
      </c>
      <c r="Z64" s="1">
        <v>0.33893857346216533</v>
      </c>
      <c r="AA64" s="1">
        <v>-0.19949650780520087</v>
      </c>
      <c r="AB64" s="1">
        <v>-0.15879419991677149</v>
      </c>
      <c r="AC64" s="1">
        <v>-7.0863105571003879E-2</v>
      </c>
      <c r="AD64" s="1">
        <v>-7.2809270662348505E-2</v>
      </c>
      <c r="AE64" s="1">
        <v>-8.1738463791120569E-2</v>
      </c>
      <c r="AF64" s="1">
        <v>-8.2047568535257076E-2</v>
      </c>
      <c r="AG64" s="1">
        <v>-0.12042591815185534</v>
      </c>
      <c r="AH64" s="1">
        <v>-0.19077454558194459</v>
      </c>
      <c r="AI64" s="1">
        <v>-9.4403576832258265E-2</v>
      </c>
      <c r="AJ64" s="1">
        <v>-9.6424590021109702E-2</v>
      </c>
      <c r="AK64" s="1">
        <v>-3.0306990181346746E-2</v>
      </c>
      <c r="AL64" s="1">
        <v>-2.7786218374226082E-2</v>
      </c>
      <c r="AM64" s="1">
        <v>9.2655143517040933E-2</v>
      </c>
      <c r="AN64" s="1">
        <v>8.2637993730577439E-2</v>
      </c>
      <c r="AO64" s="1">
        <v>0.10585724837597837</v>
      </c>
      <c r="AP64" s="1">
        <v>4.5718808781527308E-2</v>
      </c>
      <c r="AQ64" s="1">
        <v>6.3531118920159224E-2</v>
      </c>
      <c r="AR64" s="1">
        <v>-6.9242795989516801E-3</v>
      </c>
      <c r="AS64" s="1">
        <v>6.0742812296058789E-2</v>
      </c>
      <c r="AT64" s="1">
        <v>0.76022746399870011</v>
      </c>
      <c r="AU64" s="1">
        <v>-0.31967454025840714</v>
      </c>
      <c r="AV64" s="1">
        <v>1</v>
      </c>
      <c r="AW64" s="1">
        <v>-8.6668523903056065E-3</v>
      </c>
      <c r="AX64" s="1">
        <v>-0.262835988940057</v>
      </c>
      <c r="AY64" s="1">
        <v>-6.9434023473145853E-2</v>
      </c>
    </row>
    <row r="65" spans="4:51" x14ac:dyDescent="0.35">
      <c r="D65" t="s">
        <v>10</v>
      </c>
      <c r="E65" s="1">
        <v>0.24937003759268134</v>
      </c>
      <c r="F65" s="1">
        <v>0.23749311694286426</v>
      </c>
      <c r="G65" s="1">
        <v>0.26793076653651793</v>
      </c>
      <c r="H65" s="1">
        <v>0.16915104577337073</v>
      </c>
      <c r="I65" s="1">
        <v>0.2291155358396921</v>
      </c>
      <c r="J65" s="1">
        <v>0.27798958970529403</v>
      </c>
      <c r="K65" s="1">
        <v>0.13717021959384479</v>
      </c>
      <c r="L65" s="1">
        <v>0.19798081977380175</v>
      </c>
      <c r="M65" s="1">
        <v>0.33538546301013306</v>
      </c>
      <c r="N65" s="1">
        <v>0.12489387109003293</v>
      </c>
      <c r="O65" s="1">
        <v>0.1980381355966522</v>
      </c>
      <c r="P65" s="1">
        <v>0.18181459499860325</v>
      </c>
      <c r="Q65" s="1">
        <v>0.30566510096028743</v>
      </c>
      <c r="R65" s="1">
        <v>3.2341936517433015E-2</v>
      </c>
      <c r="S65" s="1">
        <v>0.44223509827638896</v>
      </c>
      <c r="T65" s="1">
        <v>0.33816253161662407</v>
      </c>
      <c r="U65" s="1">
        <v>0.1135604136958079</v>
      </c>
      <c r="V65" s="1">
        <v>0.30017202123752013</v>
      </c>
      <c r="W65" s="1">
        <v>0.34453818916674711</v>
      </c>
      <c r="X65" s="1">
        <v>0.29747962432568559</v>
      </c>
      <c r="Y65" s="1">
        <v>0.31527868558159244</v>
      </c>
      <c r="Z65" s="1">
        <v>0.10462152859772275</v>
      </c>
      <c r="AA65" s="1">
        <v>0.3136430591968577</v>
      </c>
      <c r="AB65" s="1">
        <v>0.29364498659988991</v>
      </c>
      <c r="AC65" s="1">
        <v>0.33260692187680096</v>
      </c>
      <c r="AD65" s="1">
        <v>0.13286547368156079</v>
      </c>
      <c r="AE65" s="1">
        <v>0.25895999354790084</v>
      </c>
      <c r="AF65" s="1">
        <v>0.31509876335477477</v>
      </c>
      <c r="AG65" s="1">
        <v>0.45576810901085635</v>
      </c>
      <c r="AH65" s="1">
        <v>0.42257218401350749</v>
      </c>
      <c r="AI65" s="1">
        <v>2.1842720222246044E-2</v>
      </c>
      <c r="AJ65" s="1">
        <v>0.25514816006871383</v>
      </c>
      <c r="AK65" s="1">
        <v>0.35841070270707903</v>
      </c>
      <c r="AL65" s="1">
        <v>0.17339865679032326</v>
      </c>
      <c r="AM65" s="1">
        <v>0.15449622243714473</v>
      </c>
      <c r="AN65" s="1">
        <v>9.2208821896664239E-2</v>
      </c>
      <c r="AO65" s="1">
        <v>0.21711498799900064</v>
      </c>
      <c r="AP65" s="1">
        <v>0.16516513501489785</v>
      </c>
      <c r="AQ65" s="1">
        <v>0.27418120275688701</v>
      </c>
      <c r="AR65" s="1">
        <v>0.10922134435112914</v>
      </c>
      <c r="AS65" s="1">
        <v>0.26007748635157218</v>
      </c>
      <c r="AT65" s="1">
        <v>4.5108515918637862E-2</v>
      </c>
      <c r="AU65" s="1">
        <v>0.27127704641291533</v>
      </c>
      <c r="AV65" s="1">
        <v>-8.6668523903056065E-3</v>
      </c>
      <c r="AW65" s="1">
        <v>1</v>
      </c>
      <c r="AX65" s="1">
        <v>2.5623718204199106E-2</v>
      </c>
      <c r="AY65" s="1">
        <v>0.75244116064188915</v>
      </c>
    </row>
    <row r="66" spans="4:51" x14ac:dyDescent="0.35">
      <c r="D66" t="s">
        <v>11</v>
      </c>
      <c r="E66" s="1">
        <v>-0.23547066370840838</v>
      </c>
      <c r="F66" s="1">
        <v>-0.25065816660261425</v>
      </c>
      <c r="G66" s="1">
        <v>-0.31947361014263259</v>
      </c>
      <c r="H66" s="1">
        <v>-0.11797849714528041</v>
      </c>
      <c r="I66" s="1">
        <v>-0.13364445400499322</v>
      </c>
      <c r="J66" s="1">
        <v>5.2773116280925864E-3</v>
      </c>
      <c r="K66" s="1">
        <v>-0.13934084291171267</v>
      </c>
      <c r="L66" s="1">
        <v>-6.7818348239101767E-2</v>
      </c>
      <c r="M66" s="1">
        <v>-5.4144135617101241E-2</v>
      </c>
      <c r="N66" s="1">
        <v>-6.4666625552170523E-2</v>
      </c>
      <c r="O66" s="1">
        <v>-0.22999184089280539</v>
      </c>
      <c r="P66" s="1">
        <v>-1.6981328854838711E-2</v>
      </c>
      <c r="Q66" s="1">
        <v>-0.18196516271862331</v>
      </c>
      <c r="R66" s="1">
        <v>-6.1654579078820361E-2</v>
      </c>
      <c r="S66" s="1">
        <v>-0.15390404732800606</v>
      </c>
      <c r="T66" s="1">
        <v>-8.0768731005158453E-2</v>
      </c>
      <c r="U66" s="1">
        <v>-6.9836356204915032E-2</v>
      </c>
      <c r="V66" s="1">
        <v>-0.14447449957841837</v>
      </c>
      <c r="W66" s="1">
        <v>-6.9272413681211759E-2</v>
      </c>
      <c r="X66" s="1">
        <v>9.8294341148156706E-3</v>
      </c>
      <c r="Y66" s="1">
        <v>-0.1191042222436727</v>
      </c>
      <c r="Z66" s="1">
        <v>-0.10710420997428151</v>
      </c>
      <c r="AA66" s="1">
        <v>-3.362421836105129E-2</v>
      </c>
      <c r="AB66" s="1">
        <v>-0.14971131197593077</v>
      </c>
      <c r="AC66" s="1">
        <v>-0.13334618620644106</v>
      </c>
      <c r="AD66" s="1">
        <v>-7.3388311723814575E-2</v>
      </c>
      <c r="AE66" s="1">
        <v>-0.19288348166819747</v>
      </c>
      <c r="AF66" s="1">
        <v>-1.4992547003126029E-2</v>
      </c>
      <c r="AG66" s="1">
        <v>-5.8530481930415247E-2</v>
      </c>
      <c r="AH66" s="1">
        <v>-1.4856833748123232E-2</v>
      </c>
      <c r="AI66" s="1">
        <v>-7.3195592974421825E-2</v>
      </c>
      <c r="AJ66" s="1">
        <v>-0.1945751389708914</v>
      </c>
      <c r="AK66" s="1">
        <v>-0.18791859093881053</v>
      </c>
      <c r="AL66" s="1">
        <v>-0.10928541093916588</v>
      </c>
      <c r="AM66" s="1">
        <v>-0.13091765663544191</v>
      </c>
      <c r="AN66" s="1">
        <v>3.027118710524394E-2</v>
      </c>
      <c r="AO66" s="1">
        <v>0.10437584731722289</v>
      </c>
      <c r="AP66" s="1">
        <v>0.10368098426098586</v>
      </c>
      <c r="AQ66" s="1">
        <v>5.7340874306807149E-2</v>
      </c>
      <c r="AR66" s="1">
        <v>6.2052394751660397E-2</v>
      </c>
      <c r="AS66" s="1">
        <v>0.12007899475323006</v>
      </c>
      <c r="AT66" s="1">
        <v>-9.2188184670266515E-2</v>
      </c>
      <c r="AU66" s="1">
        <v>-6.0258208499549748E-3</v>
      </c>
      <c r="AV66" s="1">
        <v>-0.262835988940057</v>
      </c>
      <c r="AW66" s="1">
        <v>2.5623718204199106E-2</v>
      </c>
      <c r="AX66" s="1">
        <v>1</v>
      </c>
      <c r="AY66" s="1">
        <v>-4.6147310970625986E-2</v>
      </c>
    </row>
    <row r="67" spans="4:51" x14ac:dyDescent="0.35">
      <c r="D67" t="s">
        <v>7</v>
      </c>
      <c r="E67" s="1">
        <v>0.35078667209626768</v>
      </c>
      <c r="F67" s="1">
        <v>0.37283468027155092</v>
      </c>
      <c r="G67" s="1">
        <v>0.31077350613830579</v>
      </c>
      <c r="H67" s="1">
        <v>0.29544830464613953</v>
      </c>
      <c r="I67" s="1">
        <v>0.28544629330672017</v>
      </c>
      <c r="J67" s="1">
        <v>0.32613141229557935</v>
      </c>
      <c r="K67" s="1">
        <v>0.22072442061961117</v>
      </c>
      <c r="L67" s="1">
        <v>0.26546340678843072</v>
      </c>
      <c r="M67" s="1">
        <v>0.41281722811015298</v>
      </c>
      <c r="N67" s="1">
        <v>8.2061522713590448E-2</v>
      </c>
      <c r="O67" s="1">
        <v>0.27810172769098845</v>
      </c>
      <c r="P67" s="1">
        <v>0.10552547634441882</v>
      </c>
      <c r="Q67" s="1">
        <v>0.35928282554389396</v>
      </c>
      <c r="R67" s="1">
        <v>-3.4072240417475509E-2</v>
      </c>
      <c r="S67" s="1">
        <v>0.34999799041932228</v>
      </c>
      <c r="T67" s="1">
        <v>0.42036829045113944</v>
      </c>
      <c r="U67" s="1">
        <v>0.10953901449133065</v>
      </c>
      <c r="V67" s="1">
        <v>0.33137656891941797</v>
      </c>
      <c r="W67" s="1">
        <v>0.43548897933567488</v>
      </c>
      <c r="X67" s="1">
        <v>0.3975991633624269</v>
      </c>
      <c r="Y67" s="1">
        <v>0.39463204264996882</v>
      </c>
      <c r="Z67" s="1">
        <v>0.13491452977451446</v>
      </c>
      <c r="AA67" s="1">
        <v>0.35415774513084031</v>
      </c>
      <c r="AB67" s="1">
        <v>0.32341665083970617</v>
      </c>
      <c r="AC67" s="1">
        <v>0.28648135961807802</v>
      </c>
      <c r="AD67" s="1">
        <v>0.20544849850762356</v>
      </c>
      <c r="AE67" s="1">
        <v>0.15443393889388465</v>
      </c>
      <c r="AF67" s="1">
        <v>0.22457955067304733</v>
      </c>
      <c r="AG67" s="1">
        <v>0.41330547074728224</v>
      </c>
      <c r="AH67" s="1">
        <v>0.37919256223808739</v>
      </c>
      <c r="AI67" s="1">
        <v>-3.9408912447277337E-2</v>
      </c>
      <c r="AJ67" s="1">
        <v>0.15330155093220257</v>
      </c>
      <c r="AK67" s="1">
        <v>0.37516693716807697</v>
      </c>
      <c r="AL67" s="1">
        <v>9.8779506498458E-2</v>
      </c>
      <c r="AM67" s="1">
        <v>0.15669776052920495</v>
      </c>
      <c r="AN67" s="1">
        <v>0.21348742648597865</v>
      </c>
      <c r="AO67" s="1">
        <v>0.24240577518200801</v>
      </c>
      <c r="AP67" s="1">
        <v>0.20456593529337938</v>
      </c>
      <c r="AQ67" s="1">
        <v>0.25533614104269614</v>
      </c>
      <c r="AR67" s="1">
        <v>0.10875077899111174</v>
      </c>
      <c r="AS67" s="1">
        <v>0.1763075557562486</v>
      </c>
      <c r="AT67" s="1">
        <v>-5.1761002952827968E-3</v>
      </c>
      <c r="AU67" s="1">
        <v>0.31795432990611838</v>
      </c>
      <c r="AV67" s="1">
        <v>-6.9434023473145853E-2</v>
      </c>
      <c r="AW67" s="1">
        <v>0.75244116064188915</v>
      </c>
      <c r="AX67" s="1">
        <v>-4.6147310970625986E-2</v>
      </c>
      <c r="AY67" s="1">
        <v>1</v>
      </c>
    </row>
    <row r="68" spans="4:51" x14ac:dyDescent="0.3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4:51" x14ac:dyDescent="0.3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4:51" x14ac:dyDescent="0.3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4:51" x14ac:dyDescent="0.3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4:51" x14ac:dyDescent="0.3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4:51" x14ac:dyDescent="0.3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4:51" x14ac:dyDescent="0.3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4:51" x14ac:dyDescent="0.3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4:51" x14ac:dyDescent="0.3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4:51" x14ac:dyDescent="0.3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4:51" x14ac:dyDescent="0.3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4:51" x14ac:dyDescent="0.3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4:51" x14ac:dyDescent="0.3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5:18" x14ac:dyDescent="0.3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5:18" x14ac:dyDescent="0.3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5:18" x14ac:dyDescent="0.3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5:18" x14ac:dyDescent="0.3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5:18" x14ac:dyDescent="0.3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5:18" x14ac:dyDescent="0.3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5:18" x14ac:dyDescent="0.3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5:18" x14ac:dyDescent="0.3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5:18" x14ac:dyDescent="0.3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5:18" x14ac:dyDescent="0.3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5:18" x14ac:dyDescent="0.3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5:18" x14ac:dyDescent="0.3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5:18" x14ac:dyDescent="0.3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5:18" x14ac:dyDescent="0.3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5:18" x14ac:dyDescent="0.3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5:18" x14ac:dyDescent="0.3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5:18" x14ac:dyDescent="0.3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5:18" x14ac:dyDescent="0.3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5:18" x14ac:dyDescent="0.3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5:18" x14ac:dyDescent="0.3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5:18" x14ac:dyDescent="0.3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5:18" x14ac:dyDescent="0.3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5:18" x14ac:dyDescent="0.3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5:18" x14ac:dyDescent="0.3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</sheetData>
  <phoneticPr fontId="5" type="noConversion"/>
  <conditionalFormatting sqref="E17:R17 E13:XFD13 AZ17:XFD17 E15:XFD15">
    <cfRule type="expression" dxfId="123" priority="3">
      <formula>E$11&lt;&gt;""</formula>
    </cfRule>
  </conditionalFormatting>
  <conditionalFormatting sqref="T17:AB17">
    <cfRule type="expression" dxfId="122" priority="39">
      <formula>S$11&lt;&gt;""</formula>
    </cfRule>
  </conditionalFormatting>
  <conditionalFormatting sqref="S17 AC17:AY17">
    <cfRule type="expression" dxfId="121" priority="40">
      <formula>#REF!&lt;&gt;""</formula>
    </cfRule>
  </conditionalFormatting>
  <conditionalFormatting sqref="AZ40:BB107 AW36:AY107 AT35:AV107 AQ33:AS107 AM32:AP107 E21:AL36 U37:AL107 E37:T138">
    <cfRule type="colorScale" priority="1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D2BB748-DDFF-4CBE-82AD-1023F619CD2E}">
          <x14:formula1>
            <xm:f>_xlfn.ANCHORARRAY(Sheet1!$A$2)</xm:f>
          </x14:formula1>
          <xm:sqref>E16:XFD16</xm:sqref>
        </x14:dataValidation>
        <x14:dataValidation type="list" allowBlank="1" showInputMessage="1" showErrorMessage="1" xr:uid="{3EA0A841-2F50-4594-B89F-884EE4C9ABFE}">
          <x14:formula1>
            <xm:f>_xlfn.ANCHORARRAY(Sheet1!$A$3)</xm:f>
          </x14:formula1>
          <xm:sqref>E17:XFD17 S19:XFD19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232F3-9845-4E34-888C-71437A1DCEE5}">
  <sheetPr codeName="Sheet2"/>
  <dimension ref="A2:L3"/>
  <sheetViews>
    <sheetView zoomScale="83" workbookViewId="0">
      <selection activeCell="K17" sqref="K16:K17"/>
    </sheetView>
  </sheetViews>
  <sheetFormatPr defaultColWidth="8.83203125" defaultRowHeight="14.5" x14ac:dyDescent="0.35"/>
  <cols>
    <col min="1" max="1" width="13.58203125" style="4" customWidth="1"/>
    <col min="2" max="16384" width="8.83203125" style="4"/>
  </cols>
  <sheetData>
    <row r="2" spans="1:12" x14ac:dyDescent="0.35">
      <c r="A2" s="4" t="str" cm="1">
        <f t="array" ref="A2:E2">_xlfn.LET(
_xlpm.H, tbl_BroadGeo[#Headers],
_xlpm.start, COLUMN(tbl_BroadGeo[[#Headers],[US]])-COLUMN(INDEX(_xlpm.H,1,1))+1,
_xlfn.DROP(_xlpm.H,, _xlpm.start-1)
)</f>
        <v>US</v>
      </c>
      <c r="B2" s="4" t="str">
        <v>UK</v>
      </c>
      <c r="C2" s="4" t="str">
        <v>Europe</v>
      </c>
      <c r="D2" s="4" t="str">
        <v>Asia</v>
      </c>
      <c r="E2" s="4" t="str">
        <v>Global</v>
      </c>
    </row>
    <row r="3" spans="1:12" x14ac:dyDescent="0.35">
      <c r="A3" s="4" t="str" cm="1">
        <f t="array" ref="A3:L3">_xlfn.LET(
_xlpm.H, tbl_BroadSector[#Headers],
_xlpm.start, COLUMN(E2)-COLUMN(INDEX(_xlpm.H,1,1))+1,
_xlfn.DROP(_xlpm.H,, _xlpm.start-1)
)</f>
        <v>Industrial RE</v>
      </c>
      <c r="B3" s="4" t="str">
        <v>Housing RE</v>
      </c>
      <c r="C3" s="4" t="str">
        <v>Office RE</v>
      </c>
      <c r="D3" s="4" t="str">
        <v>Retail RE</v>
      </c>
      <c r="E3" s="4" t="str">
        <v>Data Center RE</v>
      </c>
      <c r="F3" s="4" t="str">
        <v>Storage RE</v>
      </c>
      <c r="G3" s="4" t="str">
        <v>Other RE Alts</v>
      </c>
      <c r="H3" s="4" t="str">
        <v>Infra</v>
      </c>
      <c r="I3" s="4" t="str">
        <v>Timber</v>
      </c>
      <c r="J3" s="4" t="str">
        <v>Agriculture</v>
      </c>
      <c r="K3" s="4" t="str">
        <v>REITs</v>
      </c>
      <c r="L3" s="4" t="str">
        <v>Diversified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EF Inputs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Mone</dc:creator>
  <cp:keywords/>
  <dc:description/>
  <cp:lastModifiedBy>Martin Rosenberg</cp:lastModifiedBy>
  <cp:revision/>
  <dcterms:created xsi:type="dcterms:W3CDTF">2026-01-05T19:50:06Z</dcterms:created>
  <dcterms:modified xsi:type="dcterms:W3CDTF">2026-03-16T17:43:07Z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2026-01-05T20:04:37Z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c1adae11-f6b8-4cc8-a936-ac44c2e31d5d</vt:lpwstr>
  </property>
  <property fmtid="{D5CDD505-2E9C-101B-9397-08002B2CF9AE}" pid="7" name="MSIP_Label_defa4170-0d19-0005-0004-bc88714345d2_ActionId">
    <vt:lpwstr>66402ffd-6475-4674-ae24-cbafe38b5671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