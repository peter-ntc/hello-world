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7c69a2147807cf63/Documents/_RE_Forecast/scenarios/"/>
    </mc:Choice>
  </mc:AlternateContent>
  <xr:revisionPtr revIDLastSave="0" documentId="13_ncr:1_{19E38355-6963-4122-8AF5-3668239BCD2F}" xr6:coauthVersionLast="47" xr6:coauthVersionMax="47" xr10:uidLastSave="{00000000-0000-0000-0000-000000000000}"/>
  <bookViews>
    <workbookView minimized="1" xWindow="1815" yWindow="1815" windowWidth="21600" windowHeight="11295" activeTab="4" xr2:uid="{3CD48C2F-F592-46CA-A15C-6C1696A7DA48}"/>
  </bookViews>
  <sheets>
    <sheet name="EffFrontInputs" sheetId="16" r:id="rId1"/>
    <sheet name="Covariance Matrix" sheetId="15" r:id="rId2"/>
    <sheet name="Summary" sheetId="1" r:id="rId3"/>
    <sheet name="Apartment" sheetId="2" r:id="rId4"/>
    <sheet name="Industrial" sheetId="3" r:id="rId5"/>
    <sheet name="Office" sheetId="4" r:id="rId6"/>
    <sheet name="Retail" sheetId="5" r:id="rId7"/>
    <sheet name="Data Center" sheetId="6" r:id="rId8"/>
    <sheet name="Hotel" sheetId="7" r:id="rId9"/>
    <sheet name="Life Science" sheetId="8" r:id="rId10"/>
    <sheet name="Manufactured" sheetId="9" r:id="rId11"/>
    <sheet name="Medical Office" sheetId="10" r:id="rId12"/>
    <sheet name="SFR" sheetId="11" r:id="rId13"/>
    <sheet name="Seniors" sheetId="12" r:id="rId14"/>
    <sheet name="Storage" sheetId="13" r:id="rId15"/>
    <sheet name="Student" sheetId="1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4" l="1" a="1"/>
  <c r="M6" i="14" s="1"/>
  <c r="M6" i="9" a="1"/>
  <c r="M6" i="9" s="1"/>
  <c r="M6" i="2" a="1"/>
  <c r="M6" i="2" s="1"/>
  <c r="I75" i="14"/>
  <c r="J74" i="14"/>
  <c r="I74" i="14"/>
  <c r="K74" i="14" s="1"/>
  <c r="K73" i="14"/>
  <c r="I73" i="14"/>
  <c r="J72" i="14"/>
  <c r="I72" i="14"/>
  <c r="J71" i="14"/>
  <c r="I71" i="14"/>
  <c r="K71" i="14" s="1"/>
  <c r="I70" i="14"/>
  <c r="J69" i="14"/>
  <c r="I69" i="14"/>
  <c r="K69" i="14" s="1"/>
  <c r="J68" i="14"/>
  <c r="K68" i="14" s="1"/>
  <c r="I68" i="14"/>
  <c r="I67" i="14"/>
  <c r="J66" i="14"/>
  <c r="I66" i="14"/>
  <c r="K66" i="14" s="1"/>
  <c r="I65" i="14"/>
  <c r="J64" i="14"/>
  <c r="I64" i="14"/>
  <c r="J63" i="14"/>
  <c r="I63" i="14"/>
  <c r="K63" i="14" s="1"/>
  <c r="I62" i="14"/>
  <c r="K61" i="14"/>
  <c r="J61" i="14"/>
  <c r="I61" i="14"/>
  <c r="J60" i="14"/>
  <c r="K60" i="14" s="1"/>
  <c r="I60" i="14"/>
  <c r="I59" i="14"/>
  <c r="J58" i="14"/>
  <c r="K58" i="14" s="1"/>
  <c r="I58" i="14"/>
  <c r="I57" i="14"/>
  <c r="J56" i="14"/>
  <c r="I56" i="14"/>
  <c r="K56" i="14" s="1"/>
  <c r="J55" i="14"/>
  <c r="I55" i="14"/>
  <c r="K55" i="14" s="1"/>
  <c r="I54" i="14"/>
  <c r="J53" i="14"/>
  <c r="I53" i="14"/>
  <c r="K53" i="14" s="1"/>
  <c r="J52" i="14"/>
  <c r="K52" i="14" s="1"/>
  <c r="I52" i="14"/>
  <c r="I51" i="14"/>
  <c r="J50" i="14"/>
  <c r="I50" i="14"/>
  <c r="K50" i="14" s="1"/>
  <c r="I49" i="14"/>
  <c r="J48" i="14"/>
  <c r="I48" i="14"/>
  <c r="K48" i="14" s="1"/>
  <c r="K47" i="14"/>
  <c r="J47" i="14"/>
  <c r="I47" i="14"/>
  <c r="I46" i="14"/>
  <c r="J45" i="14"/>
  <c r="I45" i="14"/>
  <c r="K45" i="14" s="1"/>
  <c r="K44" i="14"/>
  <c r="J44" i="14"/>
  <c r="I44" i="14"/>
  <c r="I43" i="14"/>
  <c r="J42" i="14"/>
  <c r="I42" i="14"/>
  <c r="I41" i="14"/>
  <c r="J40" i="14"/>
  <c r="I40" i="14"/>
  <c r="J39" i="14"/>
  <c r="I39" i="14"/>
  <c r="K39" i="14" s="1"/>
  <c r="I38" i="14"/>
  <c r="J37" i="14"/>
  <c r="I37" i="14"/>
  <c r="K37" i="14" s="1"/>
  <c r="J36" i="14"/>
  <c r="K36" i="14" s="1"/>
  <c r="I36" i="14"/>
  <c r="I35" i="14"/>
  <c r="J34" i="14"/>
  <c r="I34" i="14"/>
  <c r="K34" i="14" s="1"/>
  <c r="I33" i="14"/>
  <c r="J32" i="14"/>
  <c r="I32" i="14"/>
  <c r="J31" i="14"/>
  <c r="I31" i="14"/>
  <c r="K31" i="14" s="1"/>
  <c r="I30" i="14"/>
  <c r="K29" i="14"/>
  <c r="J29" i="14"/>
  <c r="I29" i="14"/>
  <c r="J28" i="14"/>
  <c r="K28" i="14" s="1"/>
  <c r="I28" i="14"/>
  <c r="I27" i="14"/>
  <c r="K26" i="14"/>
  <c r="J26" i="14"/>
  <c r="I26" i="14"/>
  <c r="I25" i="14"/>
  <c r="J24" i="14"/>
  <c r="I24" i="14"/>
  <c r="J23" i="14"/>
  <c r="I23" i="14"/>
  <c r="K23" i="14" s="1"/>
  <c r="I22" i="14"/>
  <c r="J21" i="14"/>
  <c r="I21" i="14"/>
  <c r="K21" i="14" s="1"/>
  <c r="K20" i="14"/>
  <c r="J20" i="14"/>
  <c r="I20" i="14"/>
  <c r="I19" i="14"/>
  <c r="J18" i="14"/>
  <c r="I18" i="14"/>
  <c r="K18" i="14" s="1"/>
  <c r="I17" i="14"/>
  <c r="J16" i="14"/>
  <c r="I16" i="14"/>
  <c r="K15" i="14"/>
  <c r="J15" i="14"/>
  <c r="I15" i="14"/>
  <c r="I14" i="14"/>
  <c r="J13" i="14"/>
  <c r="K13" i="14" s="1"/>
  <c r="I13" i="14"/>
  <c r="J12" i="14"/>
  <c r="K12" i="14" s="1"/>
  <c r="I12" i="14"/>
  <c r="I11" i="14"/>
  <c r="J10" i="14"/>
  <c r="I10" i="14"/>
  <c r="K10" i="14" s="1"/>
  <c r="I9" i="14"/>
  <c r="J8" i="14"/>
  <c r="I8" i="14"/>
  <c r="J7" i="14"/>
  <c r="I7" i="14"/>
  <c r="K7" i="14" s="1"/>
  <c r="F4" i="14"/>
  <c r="C2" i="14"/>
  <c r="J73" i="14" s="1"/>
  <c r="J84" i="13"/>
  <c r="K84" i="13" s="1"/>
  <c r="I84" i="13"/>
  <c r="K83" i="13"/>
  <c r="J83" i="13"/>
  <c r="I83" i="13"/>
  <c r="I82" i="13"/>
  <c r="K81" i="13"/>
  <c r="J81" i="13"/>
  <c r="I81" i="13"/>
  <c r="I80" i="13"/>
  <c r="J79" i="13"/>
  <c r="I79" i="13"/>
  <c r="K79" i="13" s="1"/>
  <c r="J78" i="13"/>
  <c r="I78" i="13"/>
  <c r="K78" i="13" s="1"/>
  <c r="I77" i="13"/>
  <c r="J76" i="13"/>
  <c r="I76" i="13"/>
  <c r="K76" i="13" s="1"/>
  <c r="J75" i="13"/>
  <c r="K75" i="13" s="1"/>
  <c r="I75" i="13"/>
  <c r="I74" i="13"/>
  <c r="K73" i="13"/>
  <c r="J73" i="13"/>
  <c r="I73" i="13"/>
  <c r="I72" i="13"/>
  <c r="J71" i="13"/>
  <c r="I71" i="13"/>
  <c r="K71" i="13" s="1"/>
  <c r="J70" i="13"/>
  <c r="K70" i="13" s="1"/>
  <c r="I70" i="13"/>
  <c r="I69" i="13"/>
  <c r="J68" i="13"/>
  <c r="I68" i="13"/>
  <c r="J67" i="13"/>
  <c r="K67" i="13" s="1"/>
  <c r="I67" i="13"/>
  <c r="I66" i="13"/>
  <c r="J65" i="13"/>
  <c r="I65" i="13"/>
  <c r="K65" i="13" s="1"/>
  <c r="I64" i="13"/>
  <c r="J63" i="13"/>
  <c r="I63" i="13"/>
  <c r="K63" i="13" s="1"/>
  <c r="J62" i="13"/>
  <c r="I62" i="13"/>
  <c r="K62" i="13" s="1"/>
  <c r="I61" i="13"/>
  <c r="J60" i="13"/>
  <c r="K60" i="13" s="1"/>
  <c r="I60" i="13"/>
  <c r="K59" i="13"/>
  <c r="J59" i="13"/>
  <c r="I59" i="13"/>
  <c r="I58" i="13"/>
  <c r="J57" i="13"/>
  <c r="I57" i="13"/>
  <c r="K57" i="13" s="1"/>
  <c r="I56" i="13"/>
  <c r="J55" i="13"/>
  <c r="I55" i="13"/>
  <c r="K55" i="13" s="1"/>
  <c r="J54" i="13"/>
  <c r="I54" i="13"/>
  <c r="K54" i="13" s="1"/>
  <c r="I53" i="13"/>
  <c r="K52" i="13"/>
  <c r="J52" i="13"/>
  <c r="I52" i="13"/>
  <c r="K51" i="13"/>
  <c r="J51" i="13"/>
  <c r="I51" i="13"/>
  <c r="I50" i="13"/>
  <c r="J49" i="13"/>
  <c r="K49" i="13" s="1"/>
  <c r="I49" i="13"/>
  <c r="I48" i="13"/>
  <c r="J47" i="13"/>
  <c r="I47" i="13"/>
  <c r="K47" i="13" s="1"/>
  <c r="J46" i="13"/>
  <c r="I46" i="13"/>
  <c r="K46" i="13" s="1"/>
  <c r="I45" i="13"/>
  <c r="J44" i="13"/>
  <c r="I44" i="13"/>
  <c r="K44" i="13" s="1"/>
  <c r="J43" i="13"/>
  <c r="K43" i="13" s="1"/>
  <c r="I43" i="13"/>
  <c r="I42" i="13"/>
  <c r="K41" i="13"/>
  <c r="J41" i="13"/>
  <c r="I41" i="13"/>
  <c r="I40" i="13"/>
  <c r="J39" i="13"/>
  <c r="I39" i="13"/>
  <c r="K39" i="13" s="1"/>
  <c r="J38" i="13"/>
  <c r="K38" i="13" s="1"/>
  <c r="I38" i="13"/>
  <c r="I37" i="13"/>
  <c r="J36" i="13"/>
  <c r="I36" i="13"/>
  <c r="K36" i="13" s="1"/>
  <c r="J35" i="13"/>
  <c r="K35" i="13" s="1"/>
  <c r="I35" i="13"/>
  <c r="I34" i="13"/>
  <c r="J33" i="13"/>
  <c r="I33" i="13"/>
  <c r="K33" i="13" s="1"/>
  <c r="I32" i="13"/>
  <c r="J31" i="13"/>
  <c r="I31" i="13"/>
  <c r="K31" i="13" s="1"/>
  <c r="J30" i="13"/>
  <c r="I30" i="13"/>
  <c r="K30" i="13" s="1"/>
  <c r="I29" i="13"/>
  <c r="K28" i="13"/>
  <c r="J28" i="13"/>
  <c r="I28" i="13"/>
  <c r="K27" i="13"/>
  <c r="J27" i="13"/>
  <c r="I27" i="13"/>
  <c r="I26" i="13"/>
  <c r="J25" i="13"/>
  <c r="K25" i="13" s="1"/>
  <c r="I25" i="13"/>
  <c r="I24" i="13"/>
  <c r="J23" i="13"/>
  <c r="I23" i="13"/>
  <c r="K23" i="13" s="1"/>
  <c r="J22" i="13"/>
  <c r="I22" i="13"/>
  <c r="K22" i="13" s="1"/>
  <c r="I21" i="13"/>
  <c r="J20" i="13"/>
  <c r="K20" i="13" s="1"/>
  <c r="I20" i="13"/>
  <c r="K19" i="13"/>
  <c r="J19" i="13"/>
  <c r="I19" i="13"/>
  <c r="I18" i="13"/>
  <c r="K17" i="13"/>
  <c r="J17" i="13"/>
  <c r="I17" i="13"/>
  <c r="I16" i="13"/>
  <c r="J15" i="13"/>
  <c r="I15" i="13"/>
  <c r="K15" i="13" s="1"/>
  <c r="K14" i="13"/>
  <c r="J14" i="13"/>
  <c r="I14" i="13"/>
  <c r="I13" i="13"/>
  <c r="J12" i="13"/>
  <c r="I12" i="13"/>
  <c r="K12" i="13" s="1"/>
  <c r="J11" i="13"/>
  <c r="K11" i="13" s="1"/>
  <c r="I11" i="13"/>
  <c r="I10" i="13"/>
  <c r="K9" i="13"/>
  <c r="J9" i="13"/>
  <c r="I9" i="13"/>
  <c r="I8" i="13"/>
  <c r="J7" i="13"/>
  <c r="I7" i="13"/>
  <c r="K7" i="13" s="1"/>
  <c r="F4" i="13" a="1"/>
  <c r="F4" i="13" s="1"/>
  <c r="C2" i="13"/>
  <c r="J80" i="13" s="1"/>
  <c r="K80" i="13" s="1"/>
  <c r="J92" i="12"/>
  <c r="I92" i="12"/>
  <c r="K92" i="12" s="1"/>
  <c r="J91" i="12"/>
  <c r="I91" i="12"/>
  <c r="K91" i="12" s="1"/>
  <c r="I90" i="12"/>
  <c r="K89" i="12"/>
  <c r="J89" i="12"/>
  <c r="I89" i="12"/>
  <c r="J88" i="12"/>
  <c r="K88" i="12" s="1"/>
  <c r="I88" i="12"/>
  <c r="I87" i="12"/>
  <c r="K86" i="12"/>
  <c r="J86" i="12"/>
  <c r="I86" i="12"/>
  <c r="I85" i="12"/>
  <c r="J84" i="12"/>
  <c r="I84" i="12"/>
  <c r="K84" i="12" s="1"/>
  <c r="J83" i="12"/>
  <c r="K83" i="12" s="1"/>
  <c r="I83" i="12"/>
  <c r="I82" i="12"/>
  <c r="J81" i="12"/>
  <c r="I81" i="12"/>
  <c r="K81" i="12" s="1"/>
  <c r="J80" i="12"/>
  <c r="K80" i="12" s="1"/>
  <c r="I80" i="12"/>
  <c r="I79" i="12"/>
  <c r="J78" i="12"/>
  <c r="I78" i="12"/>
  <c r="K78" i="12" s="1"/>
  <c r="I77" i="12"/>
  <c r="J76" i="12"/>
  <c r="I76" i="12"/>
  <c r="K76" i="12" s="1"/>
  <c r="K75" i="12"/>
  <c r="J75" i="12"/>
  <c r="I75" i="12"/>
  <c r="I74" i="12"/>
  <c r="J73" i="12"/>
  <c r="I73" i="12"/>
  <c r="K73" i="12" s="1"/>
  <c r="K72" i="12"/>
  <c r="J72" i="12"/>
  <c r="I72" i="12"/>
  <c r="I71" i="12"/>
  <c r="K70" i="12"/>
  <c r="J70" i="12"/>
  <c r="I70" i="12"/>
  <c r="I69" i="12"/>
  <c r="J68" i="12"/>
  <c r="I68" i="12"/>
  <c r="J67" i="12"/>
  <c r="I67" i="12"/>
  <c r="K67" i="12" s="1"/>
  <c r="I66" i="12"/>
  <c r="J65" i="12"/>
  <c r="K65" i="12" s="1"/>
  <c r="I65" i="12"/>
  <c r="J64" i="12"/>
  <c r="K64" i="12" s="1"/>
  <c r="I64" i="12"/>
  <c r="I63" i="12"/>
  <c r="K62" i="12"/>
  <c r="J62" i="12"/>
  <c r="I62" i="12"/>
  <c r="I61" i="12"/>
  <c r="J60" i="12"/>
  <c r="I60" i="12"/>
  <c r="K60" i="12" s="1"/>
  <c r="K59" i="12"/>
  <c r="J59" i="12"/>
  <c r="I59" i="12"/>
  <c r="I58" i="12"/>
  <c r="K57" i="12"/>
  <c r="J57" i="12"/>
  <c r="I57" i="12"/>
  <c r="J56" i="12"/>
  <c r="K56" i="12" s="1"/>
  <c r="I56" i="12"/>
  <c r="I55" i="12"/>
  <c r="K54" i="12"/>
  <c r="J54" i="12"/>
  <c r="I54" i="12"/>
  <c r="I53" i="12"/>
  <c r="J52" i="12"/>
  <c r="I52" i="12"/>
  <c r="K52" i="12" s="1"/>
  <c r="J51" i="12"/>
  <c r="K51" i="12" s="1"/>
  <c r="I51" i="12"/>
  <c r="I50" i="12"/>
  <c r="J49" i="12"/>
  <c r="I49" i="12"/>
  <c r="K49" i="12" s="1"/>
  <c r="J48" i="12"/>
  <c r="K48" i="12" s="1"/>
  <c r="I48" i="12"/>
  <c r="I47" i="12"/>
  <c r="J46" i="12"/>
  <c r="I46" i="12"/>
  <c r="K46" i="12" s="1"/>
  <c r="I45" i="12"/>
  <c r="J44" i="12"/>
  <c r="I44" i="12"/>
  <c r="K44" i="12" s="1"/>
  <c r="K43" i="12"/>
  <c r="J43" i="12"/>
  <c r="I43" i="12"/>
  <c r="I42" i="12"/>
  <c r="J41" i="12"/>
  <c r="I41" i="12"/>
  <c r="K41" i="12" s="1"/>
  <c r="K40" i="12"/>
  <c r="J40" i="12"/>
  <c r="I40" i="12"/>
  <c r="I39" i="12"/>
  <c r="J38" i="12"/>
  <c r="I38" i="12"/>
  <c r="K38" i="12" s="1"/>
  <c r="I37" i="12"/>
  <c r="J36" i="12"/>
  <c r="I36" i="12"/>
  <c r="J35" i="12"/>
  <c r="I35" i="12"/>
  <c r="K35" i="12" s="1"/>
  <c r="I34" i="12"/>
  <c r="J33" i="12"/>
  <c r="K33" i="12" s="1"/>
  <c r="I33" i="12"/>
  <c r="J32" i="12"/>
  <c r="K32" i="12" s="1"/>
  <c r="I32" i="12"/>
  <c r="I31" i="12"/>
  <c r="J30" i="12"/>
  <c r="I30" i="12"/>
  <c r="K30" i="12" s="1"/>
  <c r="I29" i="12"/>
  <c r="J28" i="12"/>
  <c r="I28" i="12"/>
  <c r="K28" i="12" s="1"/>
  <c r="K27" i="12"/>
  <c r="J27" i="12"/>
  <c r="I27" i="12"/>
  <c r="I26" i="12"/>
  <c r="K25" i="12"/>
  <c r="J25" i="12"/>
  <c r="I25" i="12"/>
  <c r="J24" i="12"/>
  <c r="K24" i="12" s="1"/>
  <c r="I24" i="12"/>
  <c r="I23" i="12"/>
  <c r="K22" i="12"/>
  <c r="J22" i="12"/>
  <c r="I22" i="12"/>
  <c r="I21" i="12"/>
  <c r="J20" i="12"/>
  <c r="I20" i="12"/>
  <c r="K20" i="12" s="1"/>
  <c r="J19" i="12"/>
  <c r="K19" i="12" s="1"/>
  <c r="I19" i="12"/>
  <c r="I18" i="12"/>
  <c r="J17" i="12"/>
  <c r="I17" i="12"/>
  <c r="K17" i="12" s="1"/>
  <c r="K16" i="12"/>
  <c r="J16" i="12"/>
  <c r="I16" i="12"/>
  <c r="I15" i="12"/>
  <c r="J14" i="12"/>
  <c r="I14" i="12"/>
  <c r="K14" i="12" s="1"/>
  <c r="I13" i="12"/>
  <c r="J12" i="12"/>
  <c r="I12" i="12"/>
  <c r="K12" i="12" s="1"/>
  <c r="K11" i="12"/>
  <c r="J11" i="12"/>
  <c r="I11" i="12"/>
  <c r="I10" i="12"/>
  <c r="J9" i="12"/>
  <c r="I9" i="12"/>
  <c r="K9" i="12" s="1"/>
  <c r="K8" i="12"/>
  <c r="J8" i="12"/>
  <c r="I8" i="12"/>
  <c r="I7" i="12"/>
  <c r="F4" i="12" a="1"/>
  <c r="F4" i="12"/>
  <c r="C7" i="1" s="1"/>
  <c r="C2" i="12"/>
  <c r="J85" i="12" s="1"/>
  <c r="K85" i="12" s="1"/>
  <c r="I20" i="11"/>
  <c r="I19" i="11"/>
  <c r="I18" i="11"/>
  <c r="J17" i="11"/>
  <c r="I17" i="11"/>
  <c r="K17" i="11" s="1"/>
  <c r="I16" i="11"/>
  <c r="I15" i="11"/>
  <c r="J14" i="11"/>
  <c r="I14" i="11"/>
  <c r="K14" i="11" s="1"/>
  <c r="I13" i="11"/>
  <c r="I12" i="11"/>
  <c r="J11" i="11"/>
  <c r="K11" i="11" s="1"/>
  <c r="I11" i="11"/>
  <c r="I10" i="11"/>
  <c r="I9" i="11"/>
  <c r="J8" i="11"/>
  <c r="I8" i="11"/>
  <c r="K8" i="11" s="1"/>
  <c r="I7" i="11"/>
  <c r="F4" i="11"/>
  <c r="C2" i="11"/>
  <c r="J16" i="11" s="1"/>
  <c r="K16" i="11" s="1"/>
  <c r="J73" i="10"/>
  <c r="K73" i="10" s="1"/>
  <c r="I73" i="10"/>
  <c r="I72" i="10"/>
  <c r="K71" i="10"/>
  <c r="J71" i="10"/>
  <c r="I71" i="10"/>
  <c r="K70" i="10"/>
  <c r="I70" i="10"/>
  <c r="J69" i="10"/>
  <c r="I69" i="10"/>
  <c r="K69" i="10" s="1"/>
  <c r="J68" i="10"/>
  <c r="K68" i="10" s="1"/>
  <c r="I68" i="10"/>
  <c r="I67" i="10"/>
  <c r="K66" i="10"/>
  <c r="J66" i="10"/>
  <c r="I66" i="10"/>
  <c r="J65" i="10"/>
  <c r="K65" i="10" s="1"/>
  <c r="I65" i="10"/>
  <c r="I64" i="10"/>
  <c r="K63" i="10"/>
  <c r="J63" i="10"/>
  <c r="I63" i="10"/>
  <c r="I62" i="10"/>
  <c r="J61" i="10"/>
  <c r="I61" i="10"/>
  <c r="K61" i="10" s="1"/>
  <c r="K60" i="10"/>
  <c r="J60" i="10"/>
  <c r="I60" i="10"/>
  <c r="I59" i="10"/>
  <c r="J58" i="10"/>
  <c r="I58" i="10"/>
  <c r="K58" i="10" s="1"/>
  <c r="J57" i="10"/>
  <c r="K57" i="10" s="1"/>
  <c r="I57" i="10"/>
  <c r="I56" i="10"/>
  <c r="J55" i="10"/>
  <c r="I55" i="10"/>
  <c r="K55" i="10" s="1"/>
  <c r="I54" i="10"/>
  <c r="J53" i="10"/>
  <c r="I53" i="10"/>
  <c r="K53" i="10" s="1"/>
  <c r="K52" i="10"/>
  <c r="J52" i="10"/>
  <c r="I52" i="10"/>
  <c r="I51" i="10"/>
  <c r="J50" i="10"/>
  <c r="I50" i="10"/>
  <c r="K50" i="10" s="1"/>
  <c r="K49" i="10"/>
  <c r="J49" i="10"/>
  <c r="I49" i="10"/>
  <c r="I48" i="10"/>
  <c r="J47" i="10"/>
  <c r="I47" i="10"/>
  <c r="K47" i="10" s="1"/>
  <c r="I46" i="10"/>
  <c r="J45" i="10"/>
  <c r="I45" i="10"/>
  <c r="J44" i="10"/>
  <c r="I44" i="10"/>
  <c r="I43" i="10"/>
  <c r="J42" i="10"/>
  <c r="K42" i="10" s="1"/>
  <c r="I42" i="10"/>
  <c r="J41" i="10"/>
  <c r="K41" i="10" s="1"/>
  <c r="I41" i="10"/>
  <c r="I40" i="10"/>
  <c r="J39" i="10"/>
  <c r="I39" i="10"/>
  <c r="K39" i="10" s="1"/>
  <c r="I38" i="10"/>
  <c r="J37" i="10"/>
  <c r="I37" i="10"/>
  <c r="K37" i="10" s="1"/>
  <c r="J36" i="10"/>
  <c r="K36" i="10" s="1"/>
  <c r="I36" i="10"/>
  <c r="I35" i="10"/>
  <c r="K34" i="10"/>
  <c r="J34" i="10"/>
  <c r="I34" i="10"/>
  <c r="J33" i="10"/>
  <c r="K33" i="10" s="1"/>
  <c r="I33" i="10"/>
  <c r="I32" i="10"/>
  <c r="K31" i="10"/>
  <c r="J31" i="10"/>
  <c r="I31" i="10"/>
  <c r="I30" i="10"/>
  <c r="J29" i="10"/>
  <c r="I29" i="10"/>
  <c r="K29" i="10" s="1"/>
  <c r="K28" i="10"/>
  <c r="J28" i="10"/>
  <c r="I28" i="10"/>
  <c r="I27" i="10"/>
  <c r="J26" i="10"/>
  <c r="I26" i="10"/>
  <c r="K26" i="10" s="1"/>
  <c r="J25" i="10"/>
  <c r="K25" i="10" s="1"/>
  <c r="I25" i="10"/>
  <c r="I24" i="10"/>
  <c r="J23" i="10"/>
  <c r="I23" i="10"/>
  <c r="K23" i="10" s="1"/>
  <c r="I22" i="10"/>
  <c r="J21" i="10"/>
  <c r="I21" i="10"/>
  <c r="K21" i="10" s="1"/>
  <c r="K20" i="10"/>
  <c r="J20" i="10"/>
  <c r="I20" i="10"/>
  <c r="I19" i="10"/>
  <c r="J18" i="10"/>
  <c r="I18" i="10"/>
  <c r="K18" i="10" s="1"/>
  <c r="K17" i="10"/>
  <c r="J17" i="10"/>
  <c r="I17" i="10"/>
  <c r="I16" i="10"/>
  <c r="J15" i="10"/>
  <c r="I15" i="10"/>
  <c r="I14" i="10"/>
  <c r="J13" i="10"/>
  <c r="I13" i="10"/>
  <c r="J12" i="10"/>
  <c r="I12" i="10"/>
  <c r="K12" i="10" s="1"/>
  <c r="I11" i="10"/>
  <c r="J10" i="10"/>
  <c r="K10" i="10" s="1"/>
  <c r="I10" i="10"/>
  <c r="J9" i="10"/>
  <c r="K9" i="10" s="1"/>
  <c r="I9" i="10"/>
  <c r="I8" i="10"/>
  <c r="J7" i="10"/>
  <c r="I7" i="10"/>
  <c r="K7" i="10" s="1"/>
  <c r="F4" i="10" a="1"/>
  <c r="F4" i="10" s="1"/>
  <c r="C2" i="10"/>
  <c r="J70" i="10" s="1"/>
  <c r="K18" i="9"/>
  <c r="J18" i="9"/>
  <c r="I18" i="9"/>
  <c r="J17" i="9"/>
  <c r="K17" i="9" s="1"/>
  <c r="I17" i="9"/>
  <c r="J16" i="9"/>
  <c r="I16" i="9"/>
  <c r="K16" i="9" s="1"/>
  <c r="K15" i="9"/>
  <c r="J15" i="9"/>
  <c r="I15" i="9"/>
  <c r="J14" i="9"/>
  <c r="K14" i="9" s="1"/>
  <c r="I14" i="9"/>
  <c r="J13" i="9"/>
  <c r="I13" i="9"/>
  <c r="K13" i="9" s="1"/>
  <c r="K12" i="9"/>
  <c r="J12" i="9"/>
  <c r="I12" i="9"/>
  <c r="I11" i="9"/>
  <c r="J10" i="9"/>
  <c r="I10" i="9"/>
  <c r="K10" i="9" s="1"/>
  <c r="J9" i="9"/>
  <c r="K9" i="9" s="1"/>
  <c r="I9" i="9"/>
  <c r="J8" i="9"/>
  <c r="I8" i="9"/>
  <c r="J7" i="9"/>
  <c r="I7" i="9"/>
  <c r="K7" i="9" s="1"/>
  <c r="F4" i="9"/>
  <c r="C15" i="1" s="1"/>
  <c r="C2" i="9"/>
  <c r="J11" i="9" s="1"/>
  <c r="K11" i="9" s="1"/>
  <c r="I83" i="8"/>
  <c r="I82" i="8"/>
  <c r="I81" i="8"/>
  <c r="I80" i="8"/>
  <c r="I79" i="8"/>
  <c r="I78" i="8"/>
  <c r="I77" i="8"/>
  <c r="I76" i="8"/>
  <c r="I75" i="8"/>
  <c r="I74" i="8"/>
  <c r="J73" i="8"/>
  <c r="K73" i="8" s="1"/>
  <c r="I73" i="8"/>
  <c r="I72" i="8"/>
  <c r="I71" i="8"/>
  <c r="I70" i="8"/>
  <c r="I69" i="8"/>
  <c r="I68" i="8"/>
  <c r="I67" i="8"/>
  <c r="I66" i="8"/>
  <c r="I65" i="8"/>
  <c r="I64" i="8"/>
  <c r="I63" i="8"/>
  <c r="J62" i="8"/>
  <c r="I62" i="8"/>
  <c r="I61" i="8"/>
  <c r="I60" i="8"/>
  <c r="I59" i="8"/>
  <c r="I58" i="8"/>
  <c r="I57" i="8"/>
  <c r="J56" i="8"/>
  <c r="K56" i="8" s="1"/>
  <c r="I56" i="8"/>
  <c r="I55" i="8"/>
  <c r="I54" i="8"/>
  <c r="I53" i="8"/>
  <c r="I52" i="8"/>
  <c r="J51" i="8"/>
  <c r="K51" i="8" s="1"/>
  <c r="I51" i="8"/>
  <c r="I50" i="8"/>
  <c r="I49" i="8"/>
  <c r="I48" i="8"/>
  <c r="I47" i="8"/>
  <c r="I46" i="8"/>
  <c r="I45" i="8"/>
  <c r="I44" i="8"/>
  <c r="I43" i="8"/>
  <c r="I42" i="8"/>
  <c r="J41" i="8"/>
  <c r="K41" i="8" s="1"/>
  <c r="I41" i="8"/>
  <c r="I40" i="8"/>
  <c r="I39" i="8"/>
  <c r="I38" i="8"/>
  <c r="I37" i="8"/>
  <c r="I36" i="8"/>
  <c r="I35" i="8"/>
  <c r="I34" i="8"/>
  <c r="I33" i="8"/>
  <c r="I32" i="8"/>
  <c r="I31" i="8"/>
  <c r="J30" i="8"/>
  <c r="I30" i="8"/>
  <c r="K30" i="8" s="1"/>
  <c r="I29" i="8"/>
  <c r="I28" i="8"/>
  <c r="I27" i="8"/>
  <c r="I26" i="8"/>
  <c r="I25" i="8"/>
  <c r="J24" i="8"/>
  <c r="K24" i="8" s="1"/>
  <c r="I24" i="8"/>
  <c r="I23" i="8"/>
  <c r="I22" i="8"/>
  <c r="I21" i="8"/>
  <c r="I20" i="8"/>
  <c r="J19" i="8"/>
  <c r="K19" i="8" s="1"/>
  <c r="I19" i="8"/>
  <c r="I18" i="8"/>
  <c r="I17" i="8"/>
  <c r="I16" i="8"/>
  <c r="I15" i="8"/>
  <c r="I14" i="8"/>
  <c r="I13" i="8"/>
  <c r="I12" i="8"/>
  <c r="I11" i="8"/>
  <c r="I10" i="8"/>
  <c r="J9" i="8"/>
  <c r="K9" i="8" s="1"/>
  <c r="I9" i="8"/>
  <c r="I8" i="8"/>
  <c r="I7" i="8"/>
  <c r="F4" i="8"/>
  <c r="C2" i="8"/>
  <c r="J52" i="8" s="1"/>
  <c r="I81" i="7"/>
  <c r="I80" i="7"/>
  <c r="J79" i="7"/>
  <c r="I79" i="7"/>
  <c r="K79" i="7" s="1"/>
  <c r="I78" i="7"/>
  <c r="J77" i="7"/>
  <c r="K77" i="7" s="1"/>
  <c r="I77" i="7"/>
  <c r="I76" i="7"/>
  <c r="I75" i="7"/>
  <c r="J74" i="7"/>
  <c r="I74" i="7"/>
  <c r="I73" i="7"/>
  <c r="I72" i="7"/>
  <c r="K71" i="7"/>
  <c r="J71" i="7"/>
  <c r="I71" i="7"/>
  <c r="I70" i="7"/>
  <c r="I69" i="7"/>
  <c r="J68" i="7"/>
  <c r="K68" i="7" s="1"/>
  <c r="I68" i="7"/>
  <c r="I67" i="7"/>
  <c r="I66" i="7"/>
  <c r="I65" i="7"/>
  <c r="J64" i="7"/>
  <c r="I64" i="7"/>
  <c r="K64" i="7" s="1"/>
  <c r="J63" i="7"/>
  <c r="K63" i="7" s="1"/>
  <c r="I63" i="7"/>
  <c r="I62" i="7"/>
  <c r="J61" i="7"/>
  <c r="I61" i="7"/>
  <c r="K61" i="7" s="1"/>
  <c r="J60" i="7"/>
  <c r="K60" i="7" s="1"/>
  <c r="I60" i="7"/>
  <c r="I59" i="7"/>
  <c r="I58" i="7"/>
  <c r="I57" i="7"/>
  <c r="J56" i="7"/>
  <c r="I56" i="7"/>
  <c r="K56" i="7" s="1"/>
  <c r="I55" i="7"/>
  <c r="I54" i="7"/>
  <c r="J53" i="7"/>
  <c r="K53" i="7" s="1"/>
  <c r="I53" i="7"/>
  <c r="I52" i="7"/>
  <c r="I51" i="7"/>
  <c r="K50" i="7"/>
  <c r="J50" i="7"/>
  <c r="I50" i="7"/>
  <c r="I49" i="7"/>
  <c r="I48" i="7"/>
  <c r="J47" i="7"/>
  <c r="I47" i="7"/>
  <c r="K47" i="7" s="1"/>
  <c r="I46" i="7"/>
  <c r="K45" i="7"/>
  <c r="J45" i="7"/>
  <c r="I45" i="7"/>
  <c r="I44" i="7"/>
  <c r="I43" i="7"/>
  <c r="J42" i="7"/>
  <c r="I42" i="7"/>
  <c r="I41" i="7"/>
  <c r="I40" i="7"/>
  <c r="K39" i="7"/>
  <c r="J39" i="7"/>
  <c r="I39" i="7"/>
  <c r="I38" i="7"/>
  <c r="I37" i="7"/>
  <c r="J36" i="7"/>
  <c r="K36" i="7" s="1"/>
  <c r="I36" i="7"/>
  <c r="I35" i="7"/>
  <c r="I34" i="7"/>
  <c r="I33" i="7"/>
  <c r="J32" i="7"/>
  <c r="I32" i="7"/>
  <c r="K32" i="7" s="1"/>
  <c r="J31" i="7"/>
  <c r="K31" i="7" s="1"/>
  <c r="I31" i="7"/>
  <c r="I30" i="7"/>
  <c r="J29" i="7"/>
  <c r="I29" i="7"/>
  <c r="K29" i="7" s="1"/>
  <c r="J28" i="7"/>
  <c r="K28" i="7" s="1"/>
  <c r="I28" i="7"/>
  <c r="I27" i="7"/>
  <c r="I26" i="7"/>
  <c r="I25" i="7"/>
  <c r="J24" i="7"/>
  <c r="I24" i="7"/>
  <c r="K24" i="7" s="1"/>
  <c r="I23" i="7"/>
  <c r="I22" i="7"/>
  <c r="J21" i="7"/>
  <c r="K21" i="7" s="1"/>
  <c r="I21" i="7"/>
  <c r="I20" i="7"/>
  <c r="I19" i="7"/>
  <c r="K18" i="7"/>
  <c r="J18" i="7"/>
  <c r="I18" i="7"/>
  <c r="I17" i="7"/>
  <c r="I16" i="7"/>
  <c r="J15" i="7"/>
  <c r="I15" i="7"/>
  <c r="K15" i="7" s="1"/>
  <c r="I14" i="7"/>
  <c r="J13" i="7"/>
  <c r="K13" i="7" s="1"/>
  <c r="I13" i="7"/>
  <c r="I12" i="7"/>
  <c r="I11" i="7"/>
  <c r="J10" i="7"/>
  <c r="I10" i="7"/>
  <c r="K10" i="7" s="1"/>
  <c r="I9" i="7"/>
  <c r="I8" i="7"/>
  <c r="K7" i="7"/>
  <c r="J7" i="7"/>
  <c r="I7" i="7"/>
  <c r="F4" i="7" a="1"/>
  <c r="F4" i="7"/>
  <c r="C2" i="7"/>
  <c r="J76" i="7" s="1"/>
  <c r="K76" i="7" s="1"/>
  <c r="J29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F4" i="6"/>
  <c r="C2" i="6"/>
  <c r="J19" i="6" s="1"/>
  <c r="J194" i="5"/>
  <c r="I194" i="5"/>
  <c r="I193" i="5"/>
  <c r="I192" i="5"/>
  <c r="I191" i="5"/>
  <c r="I190" i="5"/>
  <c r="J189" i="5"/>
  <c r="K189" i="5" s="1"/>
  <c r="I189" i="5"/>
  <c r="I188" i="5"/>
  <c r="I187" i="5"/>
  <c r="J186" i="5"/>
  <c r="I186" i="5"/>
  <c r="K186" i="5" s="1"/>
  <c r="I185" i="5"/>
  <c r="I184" i="5"/>
  <c r="I183" i="5"/>
  <c r="J182" i="5"/>
  <c r="I182" i="5"/>
  <c r="K182" i="5" s="1"/>
  <c r="I181" i="5"/>
  <c r="J180" i="5"/>
  <c r="K180" i="5" s="1"/>
  <c r="I180" i="5"/>
  <c r="I179" i="5"/>
  <c r="I178" i="5"/>
  <c r="I177" i="5"/>
  <c r="I176" i="5"/>
  <c r="I175" i="5"/>
  <c r="I174" i="5"/>
  <c r="K173" i="5"/>
  <c r="J173" i="5"/>
  <c r="I173" i="5"/>
  <c r="I172" i="5"/>
  <c r="I171" i="5"/>
  <c r="J170" i="5"/>
  <c r="I170" i="5"/>
  <c r="I169" i="5"/>
  <c r="I168" i="5"/>
  <c r="I167" i="5"/>
  <c r="I166" i="5"/>
  <c r="I165" i="5"/>
  <c r="J164" i="5"/>
  <c r="K164" i="5" s="1"/>
  <c r="I164" i="5"/>
  <c r="J163" i="5"/>
  <c r="I163" i="5"/>
  <c r="I162" i="5"/>
  <c r="I161" i="5"/>
  <c r="J160" i="5"/>
  <c r="I160" i="5"/>
  <c r="K160" i="5" s="1"/>
  <c r="K159" i="5"/>
  <c r="J159" i="5"/>
  <c r="I159" i="5"/>
  <c r="I158" i="5"/>
  <c r="I157" i="5"/>
  <c r="J156" i="5"/>
  <c r="K156" i="5" s="1"/>
  <c r="I156" i="5"/>
  <c r="I155" i="5"/>
  <c r="I154" i="5"/>
  <c r="J153" i="5"/>
  <c r="K153" i="5" s="1"/>
  <c r="I153" i="5"/>
  <c r="I152" i="5"/>
  <c r="I151" i="5"/>
  <c r="J150" i="5"/>
  <c r="K150" i="5" s="1"/>
  <c r="I150" i="5"/>
  <c r="I149" i="5"/>
  <c r="J148" i="5"/>
  <c r="K148" i="5" s="1"/>
  <c r="I148" i="5"/>
  <c r="I147" i="5"/>
  <c r="I146" i="5"/>
  <c r="J145" i="5"/>
  <c r="K145" i="5" s="1"/>
  <c r="I145" i="5"/>
  <c r="I144" i="5"/>
  <c r="I143" i="5"/>
  <c r="J142" i="5"/>
  <c r="I142" i="5"/>
  <c r="K142" i="5" s="1"/>
  <c r="J141" i="5"/>
  <c r="I141" i="5"/>
  <c r="I140" i="5"/>
  <c r="I139" i="5"/>
  <c r="I138" i="5"/>
  <c r="J137" i="5"/>
  <c r="I137" i="5"/>
  <c r="K137" i="5" s="1"/>
  <c r="I136" i="5"/>
  <c r="I135" i="5"/>
  <c r="J134" i="5"/>
  <c r="I134" i="5"/>
  <c r="K134" i="5" s="1"/>
  <c r="J133" i="5"/>
  <c r="I133" i="5"/>
  <c r="K133" i="5" s="1"/>
  <c r="I132" i="5"/>
  <c r="I131" i="5"/>
  <c r="J130" i="5"/>
  <c r="K130" i="5" s="1"/>
  <c r="I130" i="5"/>
  <c r="I129" i="5"/>
  <c r="I128" i="5"/>
  <c r="J127" i="5"/>
  <c r="I127" i="5"/>
  <c r="K127" i="5" s="1"/>
  <c r="I126" i="5"/>
  <c r="J125" i="5"/>
  <c r="I125" i="5"/>
  <c r="K125" i="5" s="1"/>
  <c r="J124" i="5"/>
  <c r="I124" i="5"/>
  <c r="K124" i="5" s="1"/>
  <c r="I123" i="5"/>
  <c r="J122" i="5"/>
  <c r="I122" i="5"/>
  <c r="K122" i="5" s="1"/>
  <c r="I121" i="5"/>
  <c r="I120" i="5"/>
  <c r="J119" i="5"/>
  <c r="I119" i="5"/>
  <c r="K119" i="5" s="1"/>
  <c r="J118" i="5"/>
  <c r="K118" i="5" s="1"/>
  <c r="I118" i="5"/>
  <c r="I117" i="5"/>
  <c r="J116" i="5"/>
  <c r="I116" i="5"/>
  <c r="K116" i="5" s="1"/>
  <c r="J115" i="5"/>
  <c r="K115" i="5" s="1"/>
  <c r="I115" i="5"/>
  <c r="I114" i="5"/>
  <c r="I113" i="5"/>
  <c r="I112" i="5"/>
  <c r="I111" i="5"/>
  <c r="I110" i="5"/>
  <c r="I109" i="5"/>
  <c r="I108" i="5"/>
  <c r="J107" i="5"/>
  <c r="K107" i="5" s="1"/>
  <c r="I107" i="5"/>
  <c r="I106" i="5"/>
  <c r="I105" i="5"/>
  <c r="I104" i="5"/>
  <c r="I103" i="5"/>
  <c r="I102" i="5"/>
  <c r="I101" i="5"/>
  <c r="I100" i="5"/>
  <c r="J99" i="5"/>
  <c r="I99" i="5"/>
  <c r="K99" i="5" s="1"/>
  <c r="J98" i="5"/>
  <c r="I98" i="5"/>
  <c r="K98" i="5" s="1"/>
  <c r="I97" i="5"/>
  <c r="J96" i="5"/>
  <c r="I96" i="5"/>
  <c r="K96" i="5" s="1"/>
  <c r="I95" i="5"/>
  <c r="I94" i="5"/>
  <c r="K93" i="5"/>
  <c r="J93" i="5"/>
  <c r="I93" i="5"/>
  <c r="I92" i="5"/>
  <c r="I91" i="5"/>
  <c r="J90" i="5"/>
  <c r="I90" i="5"/>
  <c r="K90" i="5" s="1"/>
  <c r="I89" i="5"/>
  <c r="K88" i="5"/>
  <c r="J88" i="5"/>
  <c r="I88" i="5"/>
  <c r="I87" i="5"/>
  <c r="I86" i="5"/>
  <c r="J85" i="5"/>
  <c r="I85" i="5"/>
  <c r="K85" i="5" s="1"/>
  <c r="I84" i="5"/>
  <c r="I83" i="5"/>
  <c r="J82" i="5"/>
  <c r="I82" i="5"/>
  <c r="K82" i="5" s="1"/>
  <c r="I81" i="5"/>
  <c r="J80" i="5"/>
  <c r="I80" i="5"/>
  <c r="K80" i="5" s="1"/>
  <c r="K79" i="5"/>
  <c r="J79" i="5"/>
  <c r="I79" i="5"/>
  <c r="I78" i="5"/>
  <c r="I77" i="5"/>
  <c r="I76" i="5"/>
  <c r="J75" i="5"/>
  <c r="I75" i="5"/>
  <c r="K75" i="5" s="1"/>
  <c r="J74" i="5"/>
  <c r="K74" i="5" s="1"/>
  <c r="I74" i="5"/>
  <c r="I73" i="5"/>
  <c r="J72" i="5"/>
  <c r="I72" i="5"/>
  <c r="K72" i="5" s="1"/>
  <c r="J71" i="5"/>
  <c r="K71" i="5" s="1"/>
  <c r="I71" i="5"/>
  <c r="I70" i="5"/>
  <c r="I69" i="5"/>
  <c r="I68" i="5"/>
  <c r="J67" i="5"/>
  <c r="I67" i="5"/>
  <c r="K67" i="5" s="1"/>
  <c r="J66" i="5"/>
  <c r="I66" i="5"/>
  <c r="K66" i="5" s="1"/>
  <c r="I65" i="5"/>
  <c r="J64" i="5"/>
  <c r="I64" i="5"/>
  <c r="K64" i="5" s="1"/>
  <c r="I63" i="5"/>
  <c r="I62" i="5"/>
  <c r="J61" i="5"/>
  <c r="I61" i="5"/>
  <c r="K61" i="5" s="1"/>
  <c r="I60" i="5"/>
  <c r="I59" i="5"/>
  <c r="J58" i="5"/>
  <c r="I58" i="5"/>
  <c r="K58" i="5" s="1"/>
  <c r="I57" i="5"/>
  <c r="J56" i="5"/>
  <c r="K56" i="5" s="1"/>
  <c r="I56" i="5"/>
  <c r="I55" i="5"/>
  <c r="I54" i="5"/>
  <c r="J53" i="5"/>
  <c r="K53" i="5" s="1"/>
  <c r="I53" i="5"/>
  <c r="I52" i="5"/>
  <c r="I51" i="5"/>
  <c r="K50" i="5"/>
  <c r="J50" i="5"/>
  <c r="I50" i="5"/>
  <c r="I49" i="5"/>
  <c r="J48" i="5"/>
  <c r="I48" i="5"/>
  <c r="K48" i="5" s="1"/>
  <c r="J47" i="5"/>
  <c r="K47" i="5" s="1"/>
  <c r="I47" i="5"/>
  <c r="I46" i="5"/>
  <c r="I45" i="5"/>
  <c r="I44" i="5"/>
  <c r="J43" i="5"/>
  <c r="I43" i="5"/>
  <c r="K43" i="5" s="1"/>
  <c r="J42" i="5"/>
  <c r="K42" i="5" s="1"/>
  <c r="I42" i="5"/>
  <c r="I41" i="5"/>
  <c r="J40" i="5"/>
  <c r="I40" i="5"/>
  <c r="J39" i="5"/>
  <c r="K39" i="5" s="1"/>
  <c r="I39" i="5"/>
  <c r="I38" i="5"/>
  <c r="I37" i="5"/>
  <c r="I36" i="5"/>
  <c r="J35" i="5"/>
  <c r="I35" i="5"/>
  <c r="J34" i="5"/>
  <c r="I34" i="5"/>
  <c r="K34" i="5" s="1"/>
  <c r="I33" i="5"/>
  <c r="J32" i="5"/>
  <c r="I32" i="5"/>
  <c r="K32" i="5" s="1"/>
  <c r="I31" i="5"/>
  <c r="I30" i="5"/>
  <c r="J29" i="5"/>
  <c r="I29" i="5"/>
  <c r="K29" i="5" s="1"/>
  <c r="I28" i="5"/>
  <c r="I27" i="5"/>
  <c r="J26" i="5"/>
  <c r="I26" i="5"/>
  <c r="K26" i="5" s="1"/>
  <c r="I25" i="5"/>
  <c r="J24" i="5"/>
  <c r="K24" i="5" s="1"/>
  <c r="I24" i="5"/>
  <c r="I23" i="5"/>
  <c r="I22" i="5"/>
  <c r="J21" i="5"/>
  <c r="I21" i="5"/>
  <c r="K21" i="5" s="1"/>
  <c r="I20" i="5"/>
  <c r="I19" i="5"/>
  <c r="J18" i="5"/>
  <c r="I18" i="5"/>
  <c r="K18" i="5" s="1"/>
  <c r="I17" i="5"/>
  <c r="J16" i="5"/>
  <c r="I16" i="5"/>
  <c r="K16" i="5" s="1"/>
  <c r="J15" i="5"/>
  <c r="K15" i="5" s="1"/>
  <c r="I15" i="5"/>
  <c r="I14" i="5"/>
  <c r="I13" i="5"/>
  <c r="I12" i="5"/>
  <c r="J11" i="5"/>
  <c r="I11" i="5"/>
  <c r="K11" i="5" s="1"/>
  <c r="J10" i="5"/>
  <c r="K10" i="5" s="1"/>
  <c r="I10" i="5"/>
  <c r="I9" i="5"/>
  <c r="J8" i="5"/>
  <c r="I8" i="5"/>
  <c r="K8" i="5" s="1"/>
  <c r="J7" i="5"/>
  <c r="K7" i="5" s="1"/>
  <c r="I7" i="5"/>
  <c r="F4" i="5" a="1"/>
  <c r="F4" i="5"/>
  <c r="C2" i="5"/>
  <c r="I194" i="4"/>
  <c r="I193" i="4"/>
  <c r="I192" i="4"/>
  <c r="I191" i="4"/>
  <c r="I190" i="4"/>
  <c r="I189" i="4"/>
  <c r="I188" i="4"/>
  <c r="J187" i="4"/>
  <c r="I187" i="4"/>
  <c r="I186" i="4"/>
  <c r="I185" i="4"/>
  <c r="I184" i="4"/>
  <c r="I183" i="4"/>
  <c r="J182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J126" i="4"/>
  <c r="I126" i="4"/>
  <c r="I125" i="4"/>
  <c r="I124" i="4"/>
  <c r="I123" i="4"/>
  <c r="I122" i="4"/>
  <c r="I121" i="4"/>
  <c r="I120" i="4"/>
  <c r="I119" i="4"/>
  <c r="I118" i="4"/>
  <c r="I117" i="4"/>
  <c r="I116" i="4"/>
  <c r="J115" i="4"/>
  <c r="I115" i="4"/>
  <c r="I114" i="4"/>
  <c r="I113" i="4"/>
  <c r="I112" i="4"/>
  <c r="I111" i="4"/>
  <c r="I110" i="4"/>
  <c r="I109" i="4"/>
  <c r="I108" i="4"/>
  <c r="I107" i="4"/>
  <c r="I106" i="4"/>
  <c r="I105" i="4"/>
  <c r="J104" i="4"/>
  <c r="K104" i="4" s="1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J59" i="4"/>
  <c r="I59" i="4"/>
  <c r="I58" i="4"/>
  <c r="I57" i="4"/>
  <c r="I56" i="4"/>
  <c r="I55" i="4"/>
  <c r="J54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F4" i="4" a="1"/>
  <c r="F4" i="4"/>
  <c r="C5" i="1" s="1"/>
  <c r="C2" i="4"/>
  <c r="I194" i="3"/>
  <c r="I193" i="3"/>
  <c r="J192" i="3"/>
  <c r="I192" i="3"/>
  <c r="K192" i="3" s="1"/>
  <c r="I191" i="3"/>
  <c r="J190" i="3"/>
  <c r="K190" i="3" s="1"/>
  <c r="I190" i="3"/>
  <c r="I189" i="3"/>
  <c r="I188" i="3"/>
  <c r="J187" i="3"/>
  <c r="I187" i="3"/>
  <c r="K187" i="3" s="1"/>
  <c r="I186" i="3"/>
  <c r="I185" i="3"/>
  <c r="J184" i="3"/>
  <c r="K184" i="3" s="1"/>
  <c r="I184" i="3"/>
  <c r="I183" i="3"/>
  <c r="I182" i="3"/>
  <c r="J181" i="3"/>
  <c r="K181" i="3" s="1"/>
  <c r="I181" i="3"/>
  <c r="I180" i="3"/>
  <c r="I179" i="3"/>
  <c r="I178" i="3"/>
  <c r="J177" i="3"/>
  <c r="I177" i="3"/>
  <c r="K177" i="3" s="1"/>
  <c r="J176" i="3"/>
  <c r="K176" i="3" s="1"/>
  <c r="I176" i="3"/>
  <c r="I175" i="3"/>
  <c r="J174" i="3"/>
  <c r="I174" i="3"/>
  <c r="J173" i="3"/>
  <c r="K173" i="3" s="1"/>
  <c r="I173" i="3"/>
  <c r="I172" i="3"/>
  <c r="I171" i="3"/>
  <c r="I170" i="3"/>
  <c r="J169" i="3"/>
  <c r="I169" i="3"/>
  <c r="K169" i="3" s="1"/>
  <c r="I168" i="3"/>
  <c r="I167" i="3"/>
  <c r="J166" i="3"/>
  <c r="I166" i="3"/>
  <c r="K166" i="3" s="1"/>
  <c r="I165" i="3"/>
  <c r="I164" i="3"/>
  <c r="J163" i="3"/>
  <c r="I163" i="3"/>
  <c r="K163" i="3" s="1"/>
  <c r="I162" i="3"/>
  <c r="I161" i="3"/>
  <c r="J160" i="3"/>
  <c r="I160" i="3"/>
  <c r="K160" i="3" s="1"/>
  <c r="I159" i="3"/>
  <c r="J158" i="3"/>
  <c r="K158" i="3" s="1"/>
  <c r="I158" i="3"/>
  <c r="I157" i="3"/>
  <c r="I156" i="3"/>
  <c r="J155" i="3"/>
  <c r="I155" i="3"/>
  <c r="K155" i="3" s="1"/>
  <c r="I154" i="3"/>
  <c r="I153" i="3"/>
  <c r="J152" i="3"/>
  <c r="I152" i="3"/>
  <c r="K152" i="3" s="1"/>
  <c r="I151" i="3"/>
  <c r="I150" i="3"/>
  <c r="J149" i="3"/>
  <c r="K149" i="3" s="1"/>
  <c r="I149" i="3"/>
  <c r="I148" i="3"/>
  <c r="I147" i="3"/>
  <c r="I146" i="3"/>
  <c r="J145" i="3"/>
  <c r="I145" i="3"/>
  <c r="K145" i="3" s="1"/>
  <c r="K144" i="3"/>
  <c r="J144" i="3"/>
  <c r="I144" i="3"/>
  <c r="I143" i="3"/>
  <c r="J142" i="3"/>
  <c r="I142" i="3"/>
  <c r="J141" i="3"/>
  <c r="K141" i="3" s="1"/>
  <c r="I141" i="3"/>
  <c r="I140" i="3"/>
  <c r="I139" i="3"/>
  <c r="I138" i="3"/>
  <c r="J137" i="3"/>
  <c r="I137" i="3"/>
  <c r="K137" i="3" s="1"/>
  <c r="I136" i="3"/>
  <c r="I135" i="3"/>
  <c r="K134" i="3"/>
  <c r="J134" i="3"/>
  <c r="I134" i="3"/>
  <c r="I133" i="3"/>
  <c r="I132" i="3"/>
  <c r="J131" i="3"/>
  <c r="I131" i="3"/>
  <c r="K131" i="3" s="1"/>
  <c r="I130" i="3"/>
  <c r="I129" i="3"/>
  <c r="J128" i="3"/>
  <c r="I128" i="3"/>
  <c r="K128" i="3" s="1"/>
  <c r="I127" i="3"/>
  <c r="J126" i="3"/>
  <c r="K126" i="3" s="1"/>
  <c r="I126" i="3"/>
  <c r="I125" i="3"/>
  <c r="I124" i="3"/>
  <c r="J123" i="3"/>
  <c r="I123" i="3"/>
  <c r="K123" i="3" s="1"/>
  <c r="I122" i="3"/>
  <c r="I121" i="3"/>
  <c r="J120" i="3"/>
  <c r="K120" i="3" s="1"/>
  <c r="I120" i="3"/>
  <c r="I119" i="3"/>
  <c r="I118" i="3"/>
  <c r="J117" i="3"/>
  <c r="K117" i="3" s="1"/>
  <c r="I117" i="3"/>
  <c r="I116" i="3"/>
  <c r="I115" i="3"/>
  <c r="I114" i="3"/>
  <c r="J113" i="3"/>
  <c r="I113" i="3"/>
  <c r="K113" i="3" s="1"/>
  <c r="J112" i="3"/>
  <c r="K112" i="3" s="1"/>
  <c r="I112" i="3"/>
  <c r="I111" i="3"/>
  <c r="J110" i="3"/>
  <c r="I110" i="3"/>
  <c r="J109" i="3"/>
  <c r="K109" i="3" s="1"/>
  <c r="I109" i="3"/>
  <c r="I108" i="3"/>
  <c r="I107" i="3"/>
  <c r="I106" i="3"/>
  <c r="J105" i="3"/>
  <c r="I105" i="3"/>
  <c r="K105" i="3" s="1"/>
  <c r="I104" i="3"/>
  <c r="I103" i="3"/>
  <c r="J102" i="3"/>
  <c r="I102" i="3"/>
  <c r="K102" i="3" s="1"/>
  <c r="I101" i="3"/>
  <c r="I100" i="3"/>
  <c r="J99" i="3"/>
  <c r="I99" i="3"/>
  <c r="K99" i="3" s="1"/>
  <c r="I98" i="3"/>
  <c r="I97" i="3"/>
  <c r="J96" i="3"/>
  <c r="I96" i="3"/>
  <c r="K96" i="3" s="1"/>
  <c r="I95" i="3"/>
  <c r="J94" i="3"/>
  <c r="K94" i="3" s="1"/>
  <c r="I94" i="3"/>
  <c r="I93" i="3"/>
  <c r="I92" i="3"/>
  <c r="J91" i="3"/>
  <c r="I91" i="3"/>
  <c r="K91" i="3" s="1"/>
  <c r="I90" i="3"/>
  <c r="I89" i="3"/>
  <c r="J88" i="3"/>
  <c r="I88" i="3"/>
  <c r="K88" i="3" s="1"/>
  <c r="I87" i="3"/>
  <c r="I86" i="3"/>
  <c r="J85" i="3"/>
  <c r="K85" i="3" s="1"/>
  <c r="I85" i="3"/>
  <c r="I84" i="3"/>
  <c r="I83" i="3"/>
  <c r="I82" i="3"/>
  <c r="J81" i="3"/>
  <c r="I81" i="3"/>
  <c r="K81" i="3" s="1"/>
  <c r="K80" i="3"/>
  <c r="J80" i="3"/>
  <c r="I80" i="3"/>
  <c r="I79" i="3"/>
  <c r="J78" i="3"/>
  <c r="I78" i="3"/>
  <c r="J77" i="3"/>
  <c r="K77" i="3" s="1"/>
  <c r="I77" i="3"/>
  <c r="I76" i="3"/>
  <c r="I75" i="3"/>
  <c r="I74" i="3"/>
  <c r="J73" i="3"/>
  <c r="I73" i="3"/>
  <c r="K73" i="3" s="1"/>
  <c r="I72" i="3"/>
  <c r="I71" i="3"/>
  <c r="K70" i="3"/>
  <c r="J70" i="3"/>
  <c r="I70" i="3"/>
  <c r="I69" i="3"/>
  <c r="I68" i="3"/>
  <c r="J67" i="3"/>
  <c r="I67" i="3"/>
  <c r="K67" i="3" s="1"/>
  <c r="I66" i="3"/>
  <c r="I65" i="3"/>
  <c r="J64" i="3"/>
  <c r="I64" i="3"/>
  <c r="K64" i="3" s="1"/>
  <c r="I63" i="3"/>
  <c r="J62" i="3"/>
  <c r="K62" i="3" s="1"/>
  <c r="I62" i="3"/>
  <c r="I61" i="3"/>
  <c r="I60" i="3"/>
  <c r="J59" i="3"/>
  <c r="I59" i="3"/>
  <c r="K59" i="3" s="1"/>
  <c r="I58" i="3"/>
  <c r="I57" i="3"/>
  <c r="J56" i="3"/>
  <c r="K56" i="3" s="1"/>
  <c r="I56" i="3"/>
  <c r="I55" i="3"/>
  <c r="I54" i="3"/>
  <c r="J53" i="3"/>
  <c r="K53" i="3" s="1"/>
  <c r="I53" i="3"/>
  <c r="I52" i="3"/>
  <c r="I51" i="3"/>
  <c r="I50" i="3"/>
  <c r="J49" i="3"/>
  <c r="I49" i="3"/>
  <c r="K49" i="3" s="1"/>
  <c r="J48" i="3"/>
  <c r="K48" i="3" s="1"/>
  <c r="I48" i="3"/>
  <c r="I47" i="3"/>
  <c r="J46" i="3"/>
  <c r="I46" i="3"/>
  <c r="J45" i="3"/>
  <c r="K45" i="3" s="1"/>
  <c r="I45" i="3"/>
  <c r="I44" i="3"/>
  <c r="I43" i="3"/>
  <c r="I42" i="3"/>
  <c r="J41" i="3"/>
  <c r="I41" i="3"/>
  <c r="K41" i="3" s="1"/>
  <c r="I40" i="3"/>
  <c r="J39" i="3"/>
  <c r="I39" i="3"/>
  <c r="K39" i="3" s="1"/>
  <c r="J38" i="3"/>
  <c r="I38" i="3"/>
  <c r="K38" i="3" s="1"/>
  <c r="I37" i="3"/>
  <c r="I36" i="3"/>
  <c r="J35" i="3"/>
  <c r="I35" i="3"/>
  <c r="K35" i="3" s="1"/>
  <c r="I34" i="3"/>
  <c r="I33" i="3"/>
  <c r="J32" i="3"/>
  <c r="I32" i="3"/>
  <c r="K32" i="3" s="1"/>
  <c r="J31" i="3"/>
  <c r="I31" i="3"/>
  <c r="I30" i="3"/>
  <c r="J29" i="3"/>
  <c r="K29" i="3" s="1"/>
  <c r="I29" i="3"/>
  <c r="I28" i="3"/>
  <c r="I27" i="3"/>
  <c r="I26" i="3"/>
  <c r="J25" i="3"/>
  <c r="I25" i="3"/>
  <c r="K25" i="3" s="1"/>
  <c r="I24" i="3"/>
  <c r="J23" i="3"/>
  <c r="I23" i="3"/>
  <c r="K23" i="3" s="1"/>
  <c r="K22" i="3"/>
  <c r="J22" i="3"/>
  <c r="I22" i="3"/>
  <c r="I21" i="3"/>
  <c r="I20" i="3"/>
  <c r="J19" i="3"/>
  <c r="I19" i="3"/>
  <c r="K19" i="3" s="1"/>
  <c r="I18" i="3"/>
  <c r="I17" i="3"/>
  <c r="J16" i="3"/>
  <c r="K16" i="3" s="1"/>
  <c r="I16" i="3"/>
  <c r="J15" i="3"/>
  <c r="I15" i="3"/>
  <c r="I14" i="3"/>
  <c r="K13" i="3"/>
  <c r="J13" i="3"/>
  <c r="I13" i="3"/>
  <c r="I12" i="3"/>
  <c r="I11" i="3"/>
  <c r="I10" i="3"/>
  <c r="J9" i="3"/>
  <c r="I9" i="3"/>
  <c r="K9" i="3" s="1"/>
  <c r="I8" i="3"/>
  <c r="J7" i="3"/>
  <c r="I7" i="3"/>
  <c r="F4" i="3" a="1"/>
  <c r="F4" i="3" s="1"/>
  <c r="C2" i="3"/>
  <c r="J189" i="3" s="1"/>
  <c r="K189" i="3" s="1"/>
  <c r="I194" i="2"/>
  <c r="J193" i="2"/>
  <c r="K193" i="2" s="1"/>
  <c r="I193" i="2"/>
  <c r="I192" i="2"/>
  <c r="J191" i="2"/>
  <c r="I191" i="2"/>
  <c r="K191" i="2" s="1"/>
  <c r="J190" i="2"/>
  <c r="I190" i="2"/>
  <c r="K190" i="2" s="1"/>
  <c r="I189" i="2"/>
  <c r="I188" i="2"/>
  <c r="J187" i="2"/>
  <c r="K187" i="2" s="1"/>
  <c r="I187" i="2"/>
  <c r="I186" i="2"/>
  <c r="J185" i="2"/>
  <c r="I185" i="2"/>
  <c r="K185" i="2" s="1"/>
  <c r="I184" i="2"/>
  <c r="J183" i="2"/>
  <c r="I183" i="2"/>
  <c r="I182" i="2"/>
  <c r="J181" i="2"/>
  <c r="I181" i="2"/>
  <c r="K181" i="2" s="1"/>
  <c r="I180" i="2"/>
  <c r="I179" i="2"/>
  <c r="I178" i="2"/>
  <c r="J177" i="2"/>
  <c r="K177" i="2" s="1"/>
  <c r="I177" i="2"/>
  <c r="I176" i="2"/>
  <c r="I175" i="2"/>
  <c r="J174" i="2"/>
  <c r="I174" i="2"/>
  <c r="K174" i="2" s="1"/>
  <c r="I173" i="2"/>
  <c r="J172" i="2"/>
  <c r="I172" i="2"/>
  <c r="J171" i="2"/>
  <c r="K171" i="2" s="1"/>
  <c r="I171" i="2"/>
  <c r="I170" i="2"/>
  <c r="J169" i="2"/>
  <c r="I169" i="2"/>
  <c r="K169" i="2" s="1"/>
  <c r="I168" i="2"/>
  <c r="I167" i="2"/>
  <c r="I166" i="2"/>
  <c r="J165" i="2"/>
  <c r="I165" i="2"/>
  <c r="K165" i="2" s="1"/>
  <c r="J164" i="2"/>
  <c r="K164" i="2" s="1"/>
  <c r="I164" i="2"/>
  <c r="I163" i="2"/>
  <c r="I162" i="2"/>
  <c r="J161" i="2"/>
  <c r="K161" i="2" s="1"/>
  <c r="I161" i="2"/>
  <c r="I160" i="2"/>
  <c r="I159" i="2"/>
  <c r="J158" i="2"/>
  <c r="I158" i="2"/>
  <c r="K158" i="2" s="1"/>
  <c r="I157" i="2"/>
  <c r="J156" i="2"/>
  <c r="I156" i="2"/>
  <c r="K156" i="2" s="1"/>
  <c r="I155" i="2"/>
  <c r="I154" i="2"/>
  <c r="J153" i="2"/>
  <c r="I153" i="2"/>
  <c r="K153" i="2" s="1"/>
  <c r="I152" i="2"/>
  <c r="I151" i="2"/>
  <c r="I150" i="2"/>
  <c r="J149" i="2"/>
  <c r="I149" i="2"/>
  <c r="K149" i="2" s="1"/>
  <c r="J148" i="2"/>
  <c r="K148" i="2" s="1"/>
  <c r="I148" i="2"/>
  <c r="I147" i="2"/>
  <c r="I146" i="2"/>
  <c r="J145" i="2"/>
  <c r="K145" i="2" s="1"/>
  <c r="I145" i="2"/>
  <c r="I144" i="2"/>
  <c r="J143" i="2"/>
  <c r="I143" i="2"/>
  <c r="J142" i="2"/>
  <c r="I142" i="2"/>
  <c r="K142" i="2" s="1"/>
  <c r="I141" i="2"/>
  <c r="J140" i="2"/>
  <c r="I140" i="2"/>
  <c r="K140" i="2" s="1"/>
  <c r="I139" i="2"/>
  <c r="I138" i="2"/>
  <c r="J137" i="2"/>
  <c r="I137" i="2"/>
  <c r="K137" i="2" s="1"/>
  <c r="I136" i="2"/>
  <c r="J135" i="2"/>
  <c r="I135" i="2"/>
  <c r="I134" i="2"/>
  <c r="J133" i="2"/>
  <c r="I133" i="2"/>
  <c r="K133" i="2" s="1"/>
  <c r="J132" i="2"/>
  <c r="K132" i="2" s="1"/>
  <c r="I132" i="2"/>
  <c r="I131" i="2"/>
  <c r="I130" i="2"/>
  <c r="J129" i="2"/>
  <c r="K129" i="2" s="1"/>
  <c r="I129" i="2"/>
  <c r="I128" i="2"/>
  <c r="J127" i="2"/>
  <c r="I127" i="2"/>
  <c r="K127" i="2" s="1"/>
  <c r="I126" i="2"/>
  <c r="I125" i="2"/>
  <c r="J124" i="2"/>
  <c r="I124" i="2"/>
  <c r="K124" i="2" s="1"/>
  <c r="J123" i="2"/>
  <c r="K123" i="2" s="1"/>
  <c r="I123" i="2"/>
  <c r="I122" i="2"/>
  <c r="J121" i="2"/>
  <c r="I121" i="2"/>
  <c r="K121" i="2" s="1"/>
  <c r="I120" i="2"/>
  <c r="J119" i="2"/>
  <c r="I119" i="2"/>
  <c r="I118" i="2"/>
  <c r="I117" i="2"/>
  <c r="J116" i="2"/>
  <c r="K116" i="2" s="1"/>
  <c r="I116" i="2"/>
  <c r="I115" i="2"/>
  <c r="I114" i="2"/>
  <c r="J113" i="2"/>
  <c r="K113" i="2" s="1"/>
  <c r="I113" i="2"/>
  <c r="I112" i="2"/>
  <c r="J111" i="2"/>
  <c r="I111" i="2"/>
  <c r="K111" i="2" s="1"/>
  <c r="I110" i="2"/>
  <c r="I109" i="2"/>
  <c r="J108" i="2"/>
  <c r="I108" i="2"/>
  <c r="K108" i="2" s="1"/>
  <c r="J107" i="2"/>
  <c r="K107" i="2" s="1"/>
  <c r="I107" i="2"/>
  <c r="I106" i="2"/>
  <c r="I105" i="2"/>
  <c r="I104" i="2"/>
  <c r="J103" i="2"/>
  <c r="I103" i="2"/>
  <c r="I102" i="2"/>
  <c r="I101" i="2"/>
  <c r="J100" i="2"/>
  <c r="K100" i="2" s="1"/>
  <c r="I100" i="2"/>
  <c r="I99" i="2"/>
  <c r="I98" i="2"/>
  <c r="I97" i="2"/>
  <c r="I96" i="2"/>
  <c r="J95" i="2"/>
  <c r="I95" i="2"/>
  <c r="K95" i="2" s="1"/>
  <c r="J94" i="2"/>
  <c r="K94" i="2" s="1"/>
  <c r="I94" i="2"/>
  <c r="I93" i="2"/>
  <c r="J92" i="2"/>
  <c r="I92" i="2"/>
  <c r="K92" i="2" s="1"/>
  <c r="J91" i="2"/>
  <c r="K91" i="2" s="1"/>
  <c r="I91" i="2"/>
  <c r="I90" i="2"/>
  <c r="I89" i="2"/>
  <c r="I88" i="2"/>
  <c r="I87" i="2"/>
  <c r="J86" i="2"/>
  <c r="I86" i="2"/>
  <c r="K86" i="2" s="1"/>
  <c r="I85" i="2"/>
  <c r="I84" i="2"/>
  <c r="J83" i="2"/>
  <c r="K83" i="2" s="1"/>
  <c r="I83" i="2"/>
  <c r="J82" i="2"/>
  <c r="K82" i="2" s="1"/>
  <c r="I82" i="2"/>
  <c r="I81" i="2"/>
  <c r="I80" i="2"/>
  <c r="J79" i="2"/>
  <c r="I79" i="2"/>
  <c r="K79" i="2" s="1"/>
  <c r="I78" i="2"/>
  <c r="I77" i="2"/>
  <c r="J76" i="2"/>
  <c r="I76" i="2"/>
  <c r="K76" i="2" s="1"/>
  <c r="I75" i="2"/>
  <c r="J74" i="2"/>
  <c r="K74" i="2" s="1"/>
  <c r="I74" i="2"/>
  <c r="J73" i="2"/>
  <c r="K73" i="2" s="1"/>
  <c r="I73" i="2"/>
  <c r="I72" i="2"/>
  <c r="J71" i="2"/>
  <c r="I71" i="2"/>
  <c r="K71" i="2" s="1"/>
  <c r="I70" i="2"/>
  <c r="I69" i="2"/>
  <c r="J68" i="2"/>
  <c r="I68" i="2"/>
  <c r="K68" i="2" s="1"/>
  <c r="I67" i="2"/>
  <c r="I66" i="2"/>
  <c r="J65" i="2"/>
  <c r="I65" i="2"/>
  <c r="K65" i="2" s="1"/>
  <c r="I64" i="2"/>
  <c r="I63" i="2"/>
  <c r="J62" i="2"/>
  <c r="I62" i="2"/>
  <c r="K62" i="2" s="1"/>
  <c r="J61" i="2"/>
  <c r="I61" i="2"/>
  <c r="I60" i="2"/>
  <c r="I59" i="2"/>
  <c r="I58" i="2"/>
  <c r="J57" i="2"/>
  <c r="I57" i="2"/>
  <c r="K57" i="2" s="1"/>
  <c r="I56" i="2"/>
  <c r="I55" i="2"/>
  <c r="J54" i="2"/>
  <c r="I54" i="2"/>
  <c r="K54" i="2" s="1"/>
  <c r="J53" i="2"/>
  <c r="I53" i="2"/>
  <c r="K53" i="2" s="1"/>
  <c r="I52" i="2"/>
  <c r="I51" i="2"/>
  <c r="J50" i="2"/>
  <c r="K50" i="2" s="1"/>
  <c r="I50" i="2"/>
  <c r="I49" i="2"/>
  <c r="I48" i="2"/>
  <c r="I47" i="2"/>
  <c r="J46" i="2"/>
  <c r="I46" i="2"/>
  <c r="K46" i="2" s="1"/>
  <c r="J45" i="2"/>
  <c r="K45" i="2" s="1"/>
  <c r="I45" i="2"/>
  <c r="I44" i="2"/>
  <c r="J43" i="2"/>
  <c r="I43" i="2"/>
  <c r="K43" i="2" s="1"/>
  <c r="J42" i="2"/>
  <c r="K42" i="2" s="1"/>
  <c r="I42" i="2"/>
  <c r="I41" i="2"/>
  <c r="J40" i="2"/>
  <c r="I40" i="2"/>
  <c r="K40" i="2" s="1"/>
  <c r="I39" i="2"/>
  <c r="J38" i="2"/>
  <c r="I38" i="2"/>
  <c r="K38" i="2" s="1"/>
  <c r="I37" i="2"/>
  <c r="I36" i="2"/>
  <c r="J35" i="2"/>
  <c r="I35" i="2"/>
  <c r="K35" i="2" s="1"/>
  <c r="I34" i="2"/>
  <c r="I33" i="2"/>
  <c r="J32" i="2"/>
  <c r="I32" i="2"/>
  <c r="K32" i="2" s="1"/>
  <c r="I31" i="2"/>
  <c r="I30" i="2"/>
  <c r="J29" i="2"/>
  <c r="I29" i="2"/>
  <c r="K29" i="2" s="1"/>
  <c r="I28" i="2"/>
  <c r="J27" i="2"/>
  <c r="K27" i="2" s="1"/>
  <c r="I27" i="2"/>
  <c r="J26" i="2"/>
  <c r="K26" i="2" s="1"/>
  <c r="I26" i="2"/>
  <c r="I25" i="2"/>
  <c r="J24" i="2"/>
  <c r="I24" i="2"/>
  <c r="K24" i="2" s="1"/>
  <c r="I23" i="2"/>
  <c r="J22" i="2"/>
  <c r="I22" i="2"/>
  <c r="K22" i="2" s="1"/>
  <c r="J21" i="2"/>
  <c r="I21" i="2"/>
  <c r="K21" i="2" s="1"/>
  <c r="I20" i="2"/>
  <c r="I19" i="2"/>
  <c r="J18" i="2"/>
  <c r="K18" i="2" s="1"/>
  <c r="I18" i="2"/>
  <c r="I17" i="2"/>
  <c r="I16" i="2"/>
  <c r="I15" i="2"/>
  <c r="J14" i="2"/>
  <c r="I14" i="2"/>
  <c r="K14" i="2" s="1"/>
  <c r="J13" i="2"/>
  <c r="K13" i="2" s="1"/>
  <c r="I13" i="2"/>
  <c r="I12" i="2"/>
  <c r="J11" i="2"/>
  <c r="I11" i="2"/>
  <c r="K11" i="2" s="1"/>
  <c r="J10" i="2"/>
  <c r="K10" i="2" s="1"/>
  <c r="I10" i="2"/>
  <c r="I9" i="2"/>
  <c r="J8" i="2"/>
  <c r="I8" i="2"/>
  <c r="K8" i="2" s="1"/>
  <c r="I7" i="2"/>
  <c r="F4" i="2" a="1"/>
  <c r="F4" i="2" s="1"/>
  <c r="C3" i="1" s="1"/>
  <c r="C2" i="2"/>
  <c r="C14" i="1"/>
  <c r="C13" i="1"/>
  <c r="C12" i="1"/>
  <c r="C11" i="1"/>
  <c r="C10" i="1"/>
  <c r="C9" i="1"/>
  <c r="C8" i="1"/>
  <c r="C6" i="1"/>
  <c r="C4" i="1"/>
  <c r="M4" i="15"/>
  <c r="H2" i="15"/>
  <c r="D8" i="15"/>
  <c r="B6" i="15"/>
  <c r="E5" i="15"/>
  <c r="K11" i="15"/>
  <c r="C2" i="15"/>
  <c r="G8" i="1" a="1"/>
  <c r="D12" i="15"/>
  <c r="G5" i="1" a="1"/>
  <c r="E10" i="15"/>
  <c r="L7" i="15"/>
  <c r="J3" i="15"/>
  <c r="G6" i="1" a="1"/>
  <c r="I5" i="15"/>
  <c r="D3" i="15"/>
  <c r="H13" i="15"/>
  <c r="G13" i="1" a="1"/>
  <c r="I11" i="15"/>
  <c r="D9" i="15"/>
  <c r="L11" i="15"/>
  <c r="K10" i="15"/>
  <c r="N6" i="15"/>
  <c r="F5" i="15"/>
  <c r="H12" i="15"/>
  <c r="E2" i="15"/>
  <c r="K13" i="15"/>
  <c r="L2" i="15"/>
  <c r="K6" i="15"/>
  <c r="N2" i="15"/>
  <c r="I10" i="15"/>
  <c r="E3" i="15"/>
  <c r="M10" i="15"/>
  <c r="H8" i="15"/>
  <c r="F14" i="15"/>
  <c r="K4" i="15"/>
  <c r="M9" i="15"/>
  <c r="H14" i="15"/>
  <c r="K2" i="15"/>
  <c r="I8" i="15"/>
  <c r="F12" i="15"/>
  <c r="J10" i="15"/>
  <c r="G11" i="1" a="1"/>
  <c r="I7" i="15"/>
  <c r="D5" i="15"/>
  <c r="G4" i="15"/>
  <c r="C12" i="15"/>
  <c r="F8" i="15"/>
  <c r="J6" i="15"/>
  <c r="B13" i="15"/>
  <c r="G7" i="15"/>
  <c r="E9" i="15"/>
  <c r="E12" i="15"/>
  <c r="H3" i="15"/>
  <c r="E8" i="15"/>
  <c r="L5" i="15"/>
  <c r="I3" i="15"/>
  <c r="E6" i="15"/>
  <c r="G5" i="15"/>
  <c r="G8" i="15"/>
  <c r="I13" i="15"/>
  <c r="G3" i="15"/>
  <c r="I4" i="15"/>
  <c r="D13" i="15"/>
  <c r="K9" i="15"/>
  <c r="G9" i="1" a="1"/>
  <c r="K8" i="15"/>
  <c r="N4" i="15"/>
  <c r="F3" i="15"/>
  <c r="J12" i="15"/>
  <c r="C4" i="15"/>
  <c r="I6" i="15"/>
  <c r="L13" i="15"/>
  <c r="H6" i="15"/>
  <c r="C10" i="15"/>
  <c r="F6" i="15"/>
  <c r="J4" i="15"/>
  <c r="E4" i="15"/>
  <c r="D6" i="15"/>
  <c r="G2" i="15"/>
  <c r="B12" i="15"/>
  <c r="G4" i="1" a="1"/>
  <c r="M12" i="15"/>
  <c r="H10" i="15"/>
  <c r="F7" i="15"/>
  <c r="D2" i="15"/>
  <c r="J13" i="15"/>
  <c r="N11" i="15"/>
  <c r="G13" i="15"/>
  <c r="M6" i="15"/>
  <c r="N12" i="15"/>
  <c r="M2" i="15"/>
  <c r="D7" i="15"/>
  <c r="L14" i="15"/>
  <c r="D10" i="15"/>
  <c r="F13" i="15"/>
  <c r="G10" i="1" a="1"/>
  <c r="B11" i="15"/>
  <c r="F4" i="15"/>
  <c r="G3" i="1" a="1"/>
  <c r="C14" i="15"/>
  <c r="F10" i="15"/>
  <c r="J8" i="15"/>
  <c r="C8" i="15"/>
  <c r="G9" i="15"/>
  <c r="J5" i="15"/>
  <c r="N3" i="15"/>
  <c r="B2" i="15"/>
  <c r="M5" i="15"/>
  <c r="J11" i="15"/>
  <c r="N9" i="15"/>
  <c r="C5" i="15"/>
  <c r="H11" i="15"/>
  <c r="K7" i="15"/>
  <c r="B10" i="15"/>
  <c r="C6" i="15"/>
  <c r="F2" i="15"/>
  <c r="E7" i="15"/>
  <c r="L8" i="15"/>
  <c r="H7" i="15"/>
  <c r="K3" i="15"/>
  <c r="B5" i="15"/>
  <c r="I9" i="15"/>
  <c r="C9" i="15"/>
  <c r="N14" i="15"/>
  <c r="G7" i="1" a="1"/>
  <c r="D4" i="15"/>
  <c r="M3" i="15"/>
  <c r="N13" i="15"/>
  <c r="D14" i="15"/>
  <c r="K14" i="15"/>
  <c r="N10" i="15"/>
  <c r="F9" i="15"/>
  <c r="G14" i="1" a="1"/>
  <c r="H5" i="15"/>
  <c r="M11" i="15"/>
  <c r="B4" i="15"/>
  <c r="J2" i="15"/>
  <c r="E13" i="15"/>
  <c r="C13" i="15"/>
  <c r="M8" i="15"/>
  <c r="G11" i="15"/>
  <c r="J7" i="15"/>
  <c r="N5" i="15"/>
  <c r="G10" i="15"/>
  <c r="L12" i="15"/>
  <c r="B9" i="15"/>
  <c r="C7" i="15"/>
  <c r="M13" i="15"/>
  <c r="F11" i="15"/>
  <c r="G14" i="15"/>
  <c r="I12" i="15"/>
  <c r="B7" i="15"/>
  <c r="G12" i="1" a="1"/>
  <c r="C3" i="15"/>
  <c r="L3" i="15"/>
  <c r="E14" i="15"/>
  <c r="I2" i="15"/>
  <c r="B3" i="15"/>
  <c r="N8" i="15"/>
  <c r="H9" i="15"/>
  <c r="K5" i="15"/>
  <c r="B14" i="15"/>
  <c r="J9" i="15"/>
  <c r="L4" i="15"/>
  <c r="M7" i="15"/>
  <c r="J14" i="15"/>
  <c r="M14" i="15"/>
  <c r="L10" i="15"/>
  <c r="B8" i="15"/>
  <c r="H4" i="15"/>
  <c r="E11" i="15"/>
  <c r="N7" i="15"/>
  <c r="K12" i="15"/>
  <c r="C11" i="15"/>
  <c r="G6" i="15"/>
  <c r="G12" i="15"/>
  <c r="L9" i="15"/>
  <c r="L6" i="15"/>
  <c r="G15" i="1" a="1"/>
  <c r="I14" i="15"/>
  <c r="D11" i="15"/>
  <c r="G10" i="1" l="1"/>
  <c r="G13" i="1"/>
  <c r="G9" i="1"/>
  <c r="G5" i="1"/>
  <c r="G14" i="1"/>
  <c r="G12" i="1"/>
  <c r="G15" i="1"/>
  <c r="G11" i="1"/>
  <c r="G7" i="1"/>
  <c r="G8" i="1"/>
  <c r="G6" i="1"/>
  <c r="G4" i="1"/>
  <c r="G3" i="1"/>
  <c r="K152" i="2"/>
  <c r="K133" i="4"/>
  <c r="K51" i="2"/>
  <c r="K136" i="2"/>
  <c r="K101" i="4"/>
  <c r="K162" i="2"/>
  <c r="K19" i="2"/>
  <c r="K80" i="2"/>
  <c r="K98" i="2"/>
  <c r="K78" i="2"/>
  <c r="K102" i="2"/>
  <c r="K9" i="4"/>
  <c r="K17" i="2"/>
  <c r="K49" i="2"/>
  <c r="J191" i="4"/>
  <c r="K191" i="4" s="1"/>
  <c r="J183" i="4"/>
  <c r="K183" i="4" s="1"/>
  <c r="J175" i="4"/>
  <c r="K175" i="4" s="1"/>
  <c r="J167" i="4"/>
  <c r="K167" i="4" s="1"/>
  <c r="J159" i="4"/>
  <c r="K159" i="4" s="1"/>
  <c r="J151" i="4"/>
  <c r="K151" i="4" s="1"/>
  <c r="J143" i="4"/>
  <c r="K143" i="4" s="1"/>
  <c r="J135" i="4"/>
  <c r="K135" i="4" s="1"/>
  <c r="J127" i="4"/>
  <c r="K127" i="4" s="1"/>
  <c r="J119" i="4"/>
  <c r="K119" i="4" s="1"/>
  <c r="J111" i="4"/>
  <c r="K111" i="4" s="1"/>
  <c r="J103" i="4"/>
  <c r="K103" i="4" s="1"/>
  <c r="J95" i="4"/>
  <c r="K95" i="4" s="1"/>
  <c r="J87" i="4"/>
  <c r="K87" i="4" s="1"/>
  <c r="J79" i="4"/>
  <c r="K79" i="4" s="1"/>
  <c r="J71" i="4"/>
  <c r="K71" i="4" s="1"/>
  <c r="J63" i="4"/>
  <c r="K63" i="4" s="1"/>
  <c r="J55" i="4"/>
  <c r="K55" i="4" s="1"/>
  <c r="J47" i="4"/>
  <c r="K47" i="4" s="1"/>
  <c r="J39" i="4"/>
  <c r="K39" i="4" s="1"/>
  <c r="J31" i="4"/>
  <c r="K31" i="4" s="1"/>
  <c r="J23" i="4"/>
  <c r="K23" i="4" s="1"/>
  <c r="J15" i="4"/>
  <c r="K15" i="4" s="1"/>
  <c r="J7" i="4"/>
  <c r="K7" i="4" s="1"/>
  <c r="J188" i="4"/>
  <c r="K188" i="4" s="1"/>
  <c r="J180" i="4"/>
  <c r="K180" i="4" s="1"/>
  <c r="J172" i="4"/>
  <c r="J164" i="4"/>
  <c r="K164" i="4" s="1"/>
  <c r="J156" i="4"/>
  <c r="J148" i="4"/>
  <c r="J140" i="4"/>
  <c r="J132" i="4"/>
  <c r="J124" i="4"/>
  <c r="K124" i="4" s="1"/>
  <c r="J116" i="4"/>
  <c r="K116" i="4" s="1"/>
  <c r="J108" i="4"/>
  <c r="J100" i="4"/>
  <c r="K100" i="4" s="1"/>
  <c r="J92" i="4"/>
  <c r="J84" i="4"/>
  <c r="J76" i="4"/>
  <c r="K76" i="4" s="1"/>
  <c r="J68" i="4"/>
  <c r="K68" i="4" s="1"/>
  <c r="J60" i="4"/>
  <c r="K60" i="4" s="1"/>
  <c r="J52" i="4"/>
  <c r="K52" i="4" s="1"/>
  <c r="J44" i="4"/>
  <c r="J36" i="4"/>
  <c r="K36" i="4" s="1"/>
  <c r="J28" i="4"/>
  <c r="J20" i="4"/>
  <c r="J12" i="4"/>
  <c r="K12" i="4" s="1"/>
  <c r="J193" i="4"/>
  <c r="K193" i="4" s="1"/>
  <c r="J185" i="4"/>
  <c r="K185" i="4" s="1"/>
  <c r="J177" i="4"/>
  <c r="K177" i="4" s="1"/>
  <c r="J169" i="4"/>
  <c r="J161" i="4"/>
  <c r="J153" i="4"/>
  <c r="J145" i="4"/>
  <c r="J137" i="4"/>
  <c r="J129" i="4"/>
  <c r="K129" i="4" s="1"/>
  <c r="J121" i="4"/>
  <c r="J113" i="4"/>
  <c r="K113" i="4" s="1"/>
  <c r="J105" i="4"/>
  <c r="J97" i="4"/>
  <c r="J89" i="4"/>
  <c r="J81" i="4"/>
  <c r="J73" i="4"/>
  <c r="K73" i="4" s="1"/>
  <c r="J65" i="4"/>
  <c r="J57" i="4"/>
  <c r="K57" i="4" s="1"/>
  <c r="J49" i="4"/>
  <c r="K49" i="4" s="1"/>
  <c r="J41" i="4"/>
  <c r="J33" i="4"/>
  <c r="J25" i="4"/>
  <c r="J17" i="4"/>
  <c r="J9" i="4"/>
  <c r="J192" i="4"/>
  <c r="K192" i="4" s="1"/>
  <c r="J178" i="4"/>
  <c r="K178" i="4" s="1"/>
  <c r="J174" i="4"/>
  <c r="K174" i="4" s="1"/>
  <c r="J160" i="4"/>
  <c r="K160" i="4" s="1"/>
  <c r="J146" i="4"/>
  <c r="K146" i="4" s="1"/>
  <c r="J142" i="4"/>
  <c r="J128" i="4"/>
  <c r="K128" i="4" s="1"/>
  <c r="J114" i="4"/>
  <c r="K114" i="4" s="1"/>
  <c r="J110" i="4"/>
  <c r="K110" i="4" s="1"/>
  <c r="J96" i="4"/>
  <c r="K96" i="4" s="1"/>
  <c r="J82" i="4"/>
  <c r="K82" i="4" s="1"/>
  <c r="J78" i="4"/>
  <c r="J64" i="4"/>
  <c r="K64" i="4" s="1"/>
  <c r="J50" i="4"/>
  <c r="K50" i="4" s="1"/>
  <c r="J46" i="4"/>
  <c r="K46" i="4" s="1"/>
  <c r="J32" i="4"/>
  <c r="K32" i="4" s="1"/>
  <c r="J18" i="4"/>
  <c r="K18" i="4" s="1"/>
  <c r="J14" i="4"/>
  <c r="J181" i="4"/>
  <c r="K181" i="4" s="1"/>
  <c r="J163" i="4"/>
  <c r="J149" i="4"/>
  <c r="K149" i="4" s="1"/>
  <c r="J131" i="4"/>
  <c r="J117" i="4"/>
  <c r="J99" i="4"/>
  <c r="K99" i="4" s="1"/>
  <c r="J85" i="4"/>
  <c r="K85" i="4" s="1"/>
  <c r="J67" i="4"/>
  <c r="K67" i="4" s="1"/>
  <c r="J53" i="4"/>
  <c r="J35" i="4"/>
  <c r="J21" i="4"/>
  <c r="J184" i="4"/>
  <c r="J170" i="4"/>
  <c r="K170" i="4" s="1"/>
  <c r="J166" i="4"/>
  <c r="J152" i="4"/>
  <c r="K152" i="4" s="1"/>
  <c r="J138" i="4"/>
  <c r="K138" i="4" s="1"/>
  <c r="J134" i="4"/>
  <c r="K134" i="4" s="1"/>
  <c r="J120" i="4"/>
  <c r="J106" i="4"/>
  <c r="K106" i="4" s="1"/>
  <c r="J102" i="4"/>
  <c r="J88" i="4"/>
  <c r="J74" i="4"/>
  <c r="K74" i="4" s="1"/>
  <c r="J70" i="4"/>
  <c r="K70" i="4" s="1"/>
  <c r="J56" i="4"/>
  <c r="K56" i="4" s="1"/>
  <c r="J42" i="4"/>
  <c r="K42" i="4" s="1"/>
  <c r="J38" i="4"/>
  <c r="J24" i="4"/>
  <c r="K24" i="4" s="1"/>
  <c r="J10" i="4"/>
  <c r="K10" i="4" s="1"/>
  <c r="J186" i="4"/>
  <c r="K186" i="4" s="1"/>
  <c r="J154" i="4"/>
  <c r="K154" i="4" s="1"/>
  <c r="J122" i="4"/>
  <c r="K122" i="4" s="1"/>
  <c r="J90" i="4"/>
  <c r="K90" i="4" s="1"/>
  <c r="J58" i="4"/>
  <c r="K58" i="4" s="1"/>
  <c r="J26" i="4"/>
  <c r="K26" i="4" s="1"/>
  <c r="J189" i="4"/>
  <c r="K189" i="4" s="1"/>
  <c r="J93" i="4"/>
  <c r="K93" i="4" s="1"/>
  <c r="J75" i="4"/>
  <c r="K75" i="4" s="1"/>
  <c r="J61" i="4"/>
  <c r="K61" i="4" s="1"/>
  <c r="J43" i="4"/>
  <c r="K43" i="4" s="1"/>
  <c r="J11" i="4"/>
  <c r="K11" i="4" s="1"/>
  <c r="J194" i="4"/>
  <c r="K194" i="4" s="1"/>
  <c r="J176" i="4"/>
  <c r="J162" i="4"/>
  <c r="K162" i="4" s="1"/>
  <c r="J144" i="4"/>
  <c r="J130" i="4"/>
  <c r="K130" i="4" s="1"/>
  <c r="J112" i="4"/>
  <c r="K112" i="4" s="1"/>
  <c r="J98" i="4"/>
  <c r="K98" i="4" s="1"/>
  <c r="J80" i="4"/>
  <c r="K80" i="4" s="1"/>
  <c r="J66" i="4"/>
  <c r="K66" i="4" s="1"/>
  <c r="J48" i="4"/>
  <c r="J34" i="4"/>
  <c r="K34" i="4" s="1"/>
  <c r="J16" i="4"/>
  <c r="J171" i="4"/>
  <c r="K171" i="4" s="1"/>
  <c r="J157" i="4"/>
  <c r="K157" i="4" s="1"/>
  <c r="J139" i="4"/>
  <c r="K139" i="4" s="1"/>
  <c r="J125" i="4"/>
  <c r="K125" i="4" s="1"/>
  <c r="J107" i="4"/>
  <c r="K107" i="4" s="1"/>
  <c r="J29" i="4"/>
  <c r="K29" i="4" s="1"/>
  <c r="K22" i="4"/>
  <c r="J77" i="4"/>
  <c r="K77" i="4" s="1"/>
  <c r="K177" i="5"/>
  <c r="K128" i="2"/>
  <c r="K194" i="2"/>
  <c r="K116" i="3"/>
  <c r="J22" i="4"/>
  <c r="J27" i="4"/>
  <c r="J72" i="4"/>
  <c r="K72" i="4" s="1"/>
  <c r="K161" i="4"/>
  <c r="K136" i="5"/>
  <c r="K182" i="2"/>
  <c r="J101" i="4"/>
  <c r="K179" i="4"/>
  <c r="K126" i="5"/>
  <c r="K26" i="7"/>
  <c r="J40" i="4"/>
  <c r="K40" i="4" s="1"/>
  <c r="J123" i="4"/>
  <c r="J179" i="4"/>
  <c r="K185" i="5"/>
  <c r="K33" i="2"/>
  <c r="K117" i="2"/>
  <c r="K175" i="2"/>
  <c r="J13" i="4"/>
  <c r="J69" i="4"/>
  <c r="K69" i="4" s="1"/>
  <c r="K91" i="4"/>
  <c r="J141" i="4"/>
  <c r="K49" i="5"/>
  <c r="K97" i="5"/>
  <c r="K169" i="5"/>
  <c r="K160" i="2"/>
  <c r="K65" i="4"/>
  <c r="K22" i="5"/>
  <c r="K60" i="2"/>
  <c r="K144" i="2"/>
  <c r="K14" i="3"/>
  <c r="K27" i="4"/>
  <c r="K88" i="4"/>
  <c r="K33" i="3"/>
  <c r="K180" i="3"/>
  <c r="K33" i="4"/>
  <c r="J83" i="4"/>
  <c r="K83" i="4" s="1"/>
  <c r="K105" i="4"/>
  <c r="K170" i="2"/>
  <c r="K34" i="3"/>
  <c r="K171" i="3"/>
  <c r="J45" i="4"/>
  <c r="J173" i="4"/>
  <c r="K173" i="4" s="1"/>
  <c r="K33" i="5"/>
  <c r="K13" i="4"/>
  <c r="K35" i="4"/>
  <c r="J51" i="4"/>
  <c r="J118" i="4"/>
  <c r="K118" i="4" s="1"/>
  <c r="K163" i="4"/>
  <c r="J190" i="4"/>
  <c r="K190" i="4" s="1"/>
  <c r="K19" i="5"/>
  <c r="J23" i="6"/>
  <c r="K23" i="6" s="1"/>
  <c r="J15" i="6"/>
  <c r="K15" i="6" s="1"/>
  <c r="J7" i="6"/>
  <c r="K7" i="6" s="1"/>
  <c r="J28" i="6"/>
  <c r="J20" i="6"/>
  <c r="J12" i="6"/>
  <c r="K12" i="6" s="1"/>
  <c r="J25" i="6"/>
  <c r="J17" i="6"/>
  <c r="K17" i="6" s="1"/>
  <c r="J9" i="6"/>
  <c r="J16" i="6"/>
  <c r="K16" i="6" s="1"/>
  <c r="J26" i="6"/>
  <c r="K26" i="6" s="1"/>
  <c r="J22" i="6"/>
  <c r="J11" i="6"/>
  <c r="K11" i="6" s="1"/>
  <c r="J27" i="6"/>
  <c r="K27" i="6" s="1"/>
  <c r="J14" i="6"/>
  <c r="J18" i="6"/>
  <c r="K18" i="6" s="1"/>
  <c r="J13" i="6"/>
  <c r="K13" i="6" s="1"/>
  <c r="J8" i="6"/>
  <c r="K8" i="6" s="1"/>
  <c r="J21" i="6"/>
  <c r="K21" i="6" s="1"/>
  <c r="J10" i="6"/>
  <c r="K10" i="6" s="1"/>
  <c r="J192" i="2"/>
  <c r="K192" i="2" s="1"/>
  <c r="J184" i="2"/>
  <c r="K184" i="2" s="1"/>
  <c r="J176" i="2"/>
  <c r="J168" i="2"/>
  <c r="K168" i="2" s="1"/>
  <c r="J160" i="2"/>
  <c r="J152" i="2"/>
  <c r="J144" i="2"/>
  <c r="J136" i="2"/>
  <c r="J128" i="2"/>
  <c r="J120" i="2"/>
  <c r="K120" i="2" s="1"/>
  <c r="J112" i="2"/>
  <c r="K112" i="2" s="1"/>
  <c r="J104" i="2"/>
  <c r="K104" i="2" s="1"/>
  <c r="J96" i="2"/>
  <c r="J88" i="2"/>
  <c r="K88" i="2" s="1"/>
  <c r="J80" i="2"/>
  <c r="J72" i="2"/>
  <c r="J64" i="2"/>
  <c r="K64" i="2" s="1"/>
  <c r="J56" i="2"/>
  <c r="K56" i="2" s="1"/>
  <c r="J194" i="2"/>
  <c r="J186" i="2"/>
  <c r="J178" i="2"/>
  <c r="K178" i="2" s="1"/>
  <c r="J170" i="2"/>
  <c r="J162" i="2"/>
  <c r="J154" i="2"/>
  <c r="J146" i="2"/>
  <c r="K146" i="2" s="1"/>
  <c r="J138" i="2"/>
  <c r="K138" i="2" s="1"/>
  <c r="J130" i="2"/>
  <c r="K130" i="2" s="1"/>
  <c r="J122" i="2"/>
  <c r="K122" i="2" s="1"/>
  <c r="J114" i="2"/>
  <c r="K114" i="2" s="1"/>
  <c r="J106" i="2"/>
  <c r="J98" i="2"/>
  <c r="J90" i="2"/>
  <c r="K90" i="2" s="1"/>
  <c r="J189" i="2"/>
  <c r="J173" i="2"/>
  <c r="J157" i="2"/>
  <c r="K157" i="2" s="1"/>
  <c r="J141" i="2"/>
  <c r="K141" i="2" s="1"/>
  <c r="J125" i="2"/>
  <c r="J109" i="2"/>
  <c r="J93" i="2"/>
  <c r="J87" i="2"/>
  <c r="K87" i="2" s="1"/>
  <c r="J84" i="2"/>
  <c r="K84" i="2" s="1"/>
  <c r="J58" i="2"/>
  <c r="K58" i="2" s="1"/>
  <c r="J55" i="2"/>
  <c r="K55" i="2" s="1"/>
  <c r="J47" i="2"/>
  <c r="K47" i="2" s="1"/>
  <c r="J39" i="2"/>
  <c r="K39" i="2" s="1"/>
  <c r="J31" i="2"/>
  <c r="K31" i="2" s="1"/>
  <c r="J23" i="2"/>
  <c r="K23" i="2" s="1"/>
  <c r="J15" i="2"/>
  <c r="K15" i="2" s="1"/>
  <c r="J7" i="2"/>
  <c r="K7" i="2" s="1"/>
  <c r="J182" i="2"/>
  <c r="J163" i="2"/>
  <c r="K163" i="2" s="1"/>
  <c r="J150" i="2"/>
  <c r="K150" i="2" s="1"/>
  <c r="J131" i="2"/>
  <c r="K131" i="2" s="1"/>
  <c r="J115" i="2"/>
  <c r="K115" i="2" s="1"/>
  <c r="J102" i="2"/>
  <c r="J63" i="2"/>
  <c r="J41" i="2"/>
  <c r="J25" i="2"/>
  <c r="K25" i="2" s="1"/>
  <c r="J9" i="2"/>
  <c r="K9" i="2" s="1"/>
  <c r="J81" i="2"/>
  <c r="K81" i="2" s="1"/>
  <c r="J78" i="2"/>
  <c r="J75" i="2"/>
  <c r="K75" i="2" s="1"/>
  <c r="J69" i="2"/>
  <c r="J52" i="2"/>
  <c r="J44" i="2"/>
  <c r="K44" i="2" s="1"/>
  <c r="J36" i="2"/>
  <c r="K36" i="2" s="1"/>
  <c r="J28" i="2"/>
  <c r="J20" i="2"/>
  <c r="K20" i="2" s="1"/>
  <c r="J12" i="2"/>
  <c r="J179" i="2"/>
  <c r="K179" i="2" s="1"/>
  <c r="J166" i="2"/>
  <c r="J147" i="2"/>
  <c r="K147" i="2" s="1"/>
  <c r="J134" i="2"/>
  <c r="J118" i="2"/>
  <c r="K118" i="2" s="1"/>
  <c r="J99" i="2"/>
  <c r="K99" i="2" s="1"/>
  <c r="J66" i="2"/>
  <c r="K66" i="2" s="1"/>
  <c r="J60" i="2"/>
  <c r="J49" i="2"/>
  <c r="J33" i="2"/>
  <c r="J17" i="2"/>
  <c r="K12" i="2"/>
  <c r="J19" i="2"/>
  <c r="K30" i="2"/>
  <c r="J37" i="2"/>
  <c r="K37" i="2" s="1"/>
  <c r="J51" i="2"/>
  <c r="J70" i="2"/>
  <c r="K70" i="2" s="1"/>
  <c r="K85" i="2"/>
  <c r="K89" i="2"/>
  <c r="J97" i="2"/>
  <c r="K97" i="2" s="1"/>
  <c r="J105" i="2"/>
  <c r="K105" i="2" s="1"/>
  <c r="J117" i="2"/>
  <c r="J126" i="2"/>
  <c r="K126" i="2" s="1"/>
  <c r="K134" i="2"/>
  <c r="J155" i="2"/>
  <c r="K155" i="2" s="1"/>
  <c r="K159" i="2"/>
  <c r="J167" i="2"/>
  <c r="J175" i="2"/>
  <c r="K84" i="3"/>
  <c r="J8" i="4"/>
  <c r="K8" i="4" s="1"/>
  <c r="J19" i="4"/>
  <c r="K19" i="4" s="1"/>
  <c r="J30" i="4"/>
  <c r="K41" i="4"/>
  <c r="J86" i="4"/>
  <c r="K86" i="4" s="1"/>
  <c r="J91" i="4"/>
  <c r="K97" i="4"/>
  <c r="K131" i="4"/>
  <c r="J136" i="4"/>
  <c r="K136" i="4" s="1"/>
  <c r="J147" i="4"/>
  <c r="K147" i="4" s="1"/>
  <c r="J158" i="4"/>
  <c r="K158" i="4" s="1"/>
  <c r="K169" i="4"/>
  <c r="K40" i="5"/>
  <c r="K154" i="5"/>
  <c r="K170" i="5"/>
  <c r="K55" i="8"/>
  <c r="K52" i="2"/>
  <c r="K18" i="3"/>
  <c r="K137" i="4"/>
  <c r="K35" i="8"/>
  <c r="K71" i="3"/>
  <c r="K16" i="4"/>
  <c r="J133" i="4"/>
  <c r="K144" i="4"/>
  <c r="K23" i="8"/>
  <c r="K28" i="2"/>
  <c r="K186" i="2"/>
  <c r="K52" i="3"/>
  <c r="K185" i="3"/>
  <c r="K45" i="4"/>
  <c r="J94" i="4"/>
  <c r="K94" i="4" s="1"/>
  <c r="J150" i="4"/>
  <c r="K150" i="4" s="1"/>
  <c r="J155" i="4"/>
  <c r="K155" i="4" s="1"/>
  <c r="K72" i="2"/>
  <c r="K107" i="3"/>
  <c r="K51" i="4"/>
  <c r="K123" i="4"/>
  <c r="K184" i="4"/>
  <c r="K86" i="5"/>
  <c r="K96" i="2"/>
  <c r="K154" i="2"/>
  <c r="K166" i="2"/>
  <c r="J62" i="4"/>
  <c r="K62" i="4" s="1"/>
  <c r="K141" i="4"/>
  <c r="J168" i="4"/>
  <c r="K168" i="4" s="1"/>
  <c r="J24" i="6"/>
  <c r="K24" i="6" s="1"/>
  <c r="J16" i="2"/>
  <c r="K16" i="2" s="1"/>
  <c r="J30" i="2"/>
  <c r="J34" i="2"/>
  <c r="K34" i="2" s="1"/>
  <c r="K41" i="2"/>
  <c r="J48" i="2"/>
  <c r="K48" i="2" s="1"/>
  <c r="J59" i="2"/>
  <c r="K59" i="2" s="1"/>
  <c r="K63" i="2"/>
  <c r="J67" i="2"/>
  <c r="K67" i="2" s="1"/>
  <c r="J77" i="2"/>
  <c r="K77" i="2" s="1"/>
  <c r="J85" i="2"/>
  <c r="J89" i="2"/>
  <c r="J101" i="2"/>
  <c r="K101" i="2" s="1"/>
  <c r="K106" i="2"/>
  <c r="J110" i="2"/>
  <c r="K110" i="2" s="1"/>
  <c r="J139" i="2"/>
  <c r="K139" i="2" s="1"/>
  <c r="K143" i="2"/>
  <c r="J151" i="2"/>
  <c r="J159" i="2"/>
  <c r="K172" i="2"/>
  <c r="K176" i="2"/>
  <c r="J180" i="2"/>
  <c r="K180" i="2" s="1"/>
  <c r="J188" i="2"/>
  <c r="K188" i="2" s="1"/>
  <c r="K36" i="3"/>
  <c r="K139" i="3"/>
  <c r="J37" i="4"/>
  <c r="K37" i="4" s="1"/>
  <c r="K48" i="4"/>
  <c r="K54" i="4"/>
  <c r="K59" i="4"/>
  <c r="J109" i="4"/>
  <c r="K109" i="4" s="1"/>
  <c r="K115" i="4"/>
  <c r="K120" i="4"/>
  <c r="K132" i="4"/>
  <c r="J165" i="4"/>
  <c r="K165" i="4" s="1"/>
  <c r="K176" i="4"/>
  <c r="K182" i="4"/>
  <c r="K187" i="4"/>
  <c r="K62" i="8"/>
  <c r="K76" i="8"/>
  <c r="K10" i="13"/>
  <c r="K25" i="8"/>
  <c r="K57" i="8"/>
  <c r="K102" i="4"/>
  <c r="K128" i="5"/>
  <c r="K20" i="6"/>
  <c r="K46" i="8"/>
  <c r="K82" i="13"/>
  <c r="K93" i="2"/>
  <c r="K109" i="2"/>
  <c r="K125" i="2"/>
  <c r="K173" i="2"/>
  <c r="K189" i="2"/>
  <c r="K11" i="3"/>
  <c r="K86" i="3"/>
  <c r="K150" i="3"/>
  <c r="K20" i="4"/>
  <c r="K84" i="4"/>
  <c r="K148" i="4"/>
  <c r="K25" i="6"/>
  <c r="K74" i="13"/>
  <c r="K69" i="2"/>
  <c r="K95" i="3"/>
  <c r="K104" i="3"/>
  <c r="K127" i="3"/>
  <c r="K159" i="3"/>
  <c r="K38" i="4"/>
  <c r="K166" i="4"/>
  <c r="K25" i="5"/>
  <c r="K52" i="8"/>
  <c r="K78" i="8"/>
  <c r="K61" i="2"/>
  <c r="K103" i="2"/>
  <c r="K119" i="2"/>
  <c r="K135" i="2"/>
  <c r="K151" i="2"/>
  <c r="K167" i="2"/>
  <c r="K183" i="2"/>
  <c r="K7" i="3"/>
  <c r="K46" i="3"/>
  <c r="K78" i="3"/>
  <c r="K87" i="3"/>
  <c r="K110" i="3"/>
  <c r="K119" i="3"/>
  <c r="K142" i="3"/>
  <c r="K174" i="3"/>
  <c r="K21" i="4"/>
  <c r="K30" i="4"/>
  <c r="K44" i="4"/>
  <c r="K53" i="4"/>
  <c r="K108" i="4"/>
  <c r="K117" i="4"/>
  <c r="K126" i="4"/>
  <c r="K140" i="4"/>
  <c r="K172" i="4"/>
  <c r="K35" i="5"/>
  <c r="K57" i="5"/>
  <c r="K178" i="5"/>
  <c r="K74" i="7"/>
  <c r="K28" i="8"/>
  <c r="K18" i="13"/>
  <c r="J11" i="3"/>
  <c r="J14" i="3"/>
  <c r="J17" i="3"/>
  <c r="K17" i="3" s="1"/>
  <c r="J27" i="3"/>
  <c r="K27" i="3" s="1"/>
  <c r="J30" i="3"/>
  <c r="K30" i="3" s="1"/>
  <c r="J33" i="3"/>
  <c r="J43" i="3"/>
  <c r="K43" i="3" s="1"/>
  <c r="J57" i="3"/>
  <c r="K57" i="3" s="1"/>
  <c r="J61" i="3"/>
  <c r="K61" i="3" s="1"/>
  <c r="J75" i="3"/>
  <c r="K75" i="3" s="1"/>
  <c r="J89" i="3"/>
  <c r="K89" i="3" s="1"/>
  <c r="J93" i="3"/>
  <c r="K93" i="3" s="1"/>
  <c r="J107" i="3"/>
  <c r="J121" i="3"/>
  <c r="K121" i="3" s="1"/>
  <c r="J125" i="3"/>
  <c r="K125" i="3" s="1"/>
  <c r="J139" i="3"/>
  <c r="J153" i="3"/>
  <c r="K153" i="3" s="1"/>
  <c r="J157" i="3"/>
  <c r="K157" i="3" s="1"/>
  <c r="J171" i="3"/>
  <c r="J185" i="3"/>
  <c r="K17" i="4"/>
  <c r="K81" i="4"/>
  <c r="K145" i="4"/>
  <c r="J188" i="5"/>
  <c r="K188" i="5" s="1"/>
  <c r="J193" i="5"/>
  <c r="J185" i="5"/>
  <c r="J177" i="5"/>
  <c r="J169" i="5"/>
  <c r="J161" i="5"/>
  <c r="K161" i="5" s="1"/>
  <c r="J190" i="5"/>
  <c r="K190" i="5" s="1"/>
  <c r="J191" i="5"/>
  <c r="K191" i="5" s="1"/>
  <c r="J187" i="5"/>
  <c r="K187" i="5" s="1"/>
  <c r="J178" i="5"/>
  <c r="J175" i="5"/>
  <c r="K175" i="5" s="1"/>
  <c r="J172" i="5"/>
  <c r="K172" i="5" s="1"/>
  <c r="J166" i="5"/>
  <c r="J152" i="5"/>
  <c r="K152" i="5" s="1"/>
  <c r="J144" i="5"/>
  <c r="K144" i="5" s="1"/>
  <c r="J136" i="5"/>
  <c r="J128" i="5"/>
  <c r="J120" i="5"/>
  <c r="J112" i="5"/>
  <c r="K112" i="5" s="1"/>
  <c r="J104" i="5"/>
  <c r="K104" i="5" s="1"/>
  <c r="J165" i="5"/>
  <c r="K165" i="5" s="1"/>
  <c r="J162" i="5"/>
  <c r="K162" i="5" s="1"/>
  <c r="J138" i="5"/>
  <c r="K138" i="5" s="1"/>
  <c r="J135" i="5"/>
  <c r="K135" i="5" s="1"/>
  <c r="J132" i="5"/>
  <c r="K132" i="5" s="1"/>
  <c r="J106" i="5"/>
  <c r="K106" i="5" s="1"/>
  <c r="J103" i="5"/>
  <c r="K103" i="5" s="1"/>
  <c r="J100" i="5"/>
  <c r="K100" i="5" s="1"/>
  <c r="J92" i="5"/>
  <c r="K92" i="5" s="1"/>
  <c r="J84" i="5"/>
  <c r="K84" i="5" s="1"/>
  <c r="J76" i="5"/>
  <c r="K76" i="5" s="1"/>
  <c r="J68" i="5"/>
  <c r="K68" i="5" s="1"/>
  <c r="J60" i="5"/>
  <c r="K60" i="5" s="1"/>
  <c r="J52" i="5"/>
  <c r="K52" i="5" s="1"/>
  <c r="J44" i="5"/>
  <c r="K44" i="5" s="1"/>
  <c r="J36" i="5"/>
  <c r="K36" i="5" s="1"/>
  <c r="J28" i="5"/>
  <c r="K28" i="5" s="1"/>
  <c r="J20" i="5"/>
  <c r="K20" i="5" s="1"/>
  <c r="J12" i="5"/>
  <c r="K12" i="5" s="1"/>
  <c r="J192" i="5"/>
  <c r="J184" i="5"/>
  <c r="K184" i="5" s="1"/>
  <c r="J181" i="5"/>
  <c r="K181" i="5" s="1"/>
  <c r="J168" i="5"/>
  <c r="K168" i="5" s="1"/>
  <c r="J158" i="5"/>
  <c r="J155" i="5"/>
  <c r="K155" i="5" s="1"/>
  <c r="J149" i="5"/>
  <c r="K149" i="5" s="1"/>
  <c r="J129" i="5"/>
  <c r="K129" i="5" s="1"/>
  <c r="J126" i="5"/>
  <c r="J123" i="5"/>
  <c r="K123" i="5" s="1"/>
  <c r="J117" i="5"/>
  <c r="J97" i="5"/>
  <c r="J89" i="5"/>
  <c r="K89" i="5" s="1"/>
  <c r="J81" i="5"/>
  <c r="K81" i="5" s="1"/>
  <c r="J73" i="5"/>
  <c r="J65" i="5"/>
  <c r="K65" i="5" s="1"/>
  <c r="J57" i="5"/>
  <c r="J49" i="5"/>
  <c r="J41" i="5"/>
  <c r="J33" i="5"/>
  <c r="J25" i="5"/>
  <c r="J17" i="5"/>
  <c r="K17" i="5" s="1"/>
  <c r="J9" i="5"/>
  <c r="K9" i="5" s="1"/>
  <c r="J174" i="5"/>
  <c r="K174" i="5" s="1"/>
  <c r="J171" i="5"/>
  <c r="J146" i="5"/>
  <c r="K146" i="5" s="1"/>
  <c r="J143" i="5"/>
  <c r="J140" i="5"/>
  <c r="K140" i="5" s="1"/>
  <c r="J114" i="5"/>
  <c r="J111" i="5"/>
  <c r="K111" i="5" s="1"/>
  <c r="J108" i="5"/>
  <c r="K108" i="5" s="1"/>
  <c r="J94" i="5"/>
  <c r="K94" i="5" s="1"/>
  <c r="J86" i="5"/>
  <c r="J78" i="5"/>
  <c r="K78" i="5" s="1"/>
  <c r="J70" i="5"/>
  <c r="J62" i="5"/>
  <c r="K62" i="5" s="1"/>
  <c r="J54" i="5"/>
  <c r="K54" i="5" s="1"/>
  <c r="J46" i="5"/>
  <c r="K46" i="5" s="1"/>
  <c r="J38" i="5"/>
  <c r="K38" i="5" s="1"/>
  <c r="J30" i="5"/>
  <c r="K30" i="5" s="1"/>
  <c r="J22" i="5"/>
  <c r="J14" i="5"/>
  <c r="K14" i="5" s="1"/>
  <c r="J19" i="5"/>
  <c r="J23" i="5"/>
  <c r="K23" i="5" s="1"/>
  <c r="J37" i="5"/>
  <c r="K37" i="5" s="1"/>
  <c r="J51" i="5"/>
  <c r="K51" i="5" s="1"/>
  <c r="J55" i="5"/>
  <c r="K55" i="5" s="1"/>
  <c r="J69" i="5"/>
  <c r="K69" i="5" s="1"/>
  <c r="J83" i="5"/>
  <c r="K83" i="5" s="1"/>
  <c r="J87" i="5"/>
  <c r="K87" i="5" s="1"/>
  <c r="J101" i="5"/>
  <c r="K101" i="5" s="1"/>
  <c r="J105" i="5"/>
  <c r="K105" i="5" s="1"/>
  <c r="J109" i="5"/>
  <c r="K109" i="5" s="1"/>
  <c r="J113" i="5"/>
  <c r="K113" i="5" s="1"/>
  <c r="K120" i="5"/>
  <c r="J131" i="5"/>
  <c r="K131" i="5" s="1"/>
  <c r="J139" i="5"/>
  <c r="K139" i="5" s="1"/>
  <c r="K143" i="5"/>
  <c r="J147" i="5"/>
  <c r="K147" i="5" s="1"/>
  <c r="J157" i="5"/>
  <c r="K157" i="5" s="1"/>
  <c r="K166" i="5"/>
  <c r="J179" i="5"/>
  <c r="K179" i="5" s="1"/>
  <c r="K192" i="5"/>
  <c r="K42" i="7"/>
  <c r="J16" i="8"/>
  <c r="K16" i="8" s="1"/>
  <c r="J20" i="8"/>
  <c r="K20" i="8" s="1"/>
  <c r="J48" i="8"/>
  <c r="K48" i="8" s="1"/>
  <c r="K87" i="12"/>
  <c r="J194" i="3"/>
  <c r="K194" i="3" s="1"/>
  <c r="J186" i="3"/>
  <c r="K186" i="3" s="1"/>
  <c r="J178" i="3"/>
  <c r="K178" i="3" s="1"/>
  <c r="J170" i="3"/>
  <c r="K170" i="3" s="1"/>
  <c r="J162" i="3"/>
  <c r="K162" i="3" s="1"/>
  <c r="J154" i="3"/>
  <c r="K154" i="3" s="1"/>
  <c r="J146" i="3"/>
  <c r="K146" i="3" s="1"/>
  <c r="J138" i="3"/>
  <c r="K138" i="3" s="1"/>
  <c r="J130" i="3"/>
  <c r="K130" i="3" s="1"/>
  <c r="J122" i="3"/>
  <c r="K122" i="3" s="1"/>
  <c r="J114" i="3"/>
  <c r="K114" i="3" s="1"/>
  <c r="J106" i="3"/>
  <c r="K106" i="3" s="1"/>
  <c r="J98" i="3"/>
  <c r="K98" i="3" s="1"/>
  <c r="J90" i="3"/>
  <c r="K90" i="3" s="1"/>
  <c r="J82" i="3"/>
  <c r="K82" i="3" s="1"/>
  <c r="J74" i="3"/>
  <c r="K74" i="3" s="1"/>
  <c r="J66" i="3"/>
  <c r="K66" i="3" s="1"/>
  <c r="J58" i="3"/>
  <c r="K58" i="3" s="1"/>
  <c r="J50" i="3"/>
  <c r="K50" i="3" s="1"/>
  <c r="J42" i="3"/>
  <c r="K42" i="3" s="1"/>
  <c r="J34" i="3"/>
  <c r="J26" i="3"/>
  <c r="K26" i="3" s="1"/>
  <c r="J18" i="3"/>
  <c r="J10" i="3"/>
  <c r="K10" i="3" s="1"/>
  <c r="J191" i="3"/>
  <c r="K191" i="3" s="1"/>
  <c r="J183" i="3"/>
  <c r="K183" i="3" s="1"/>
  <c r="J175" i="3"/>
  <c r="K175" i="3" s="1"/>
  <c r="J167" i="3"/>
  <c r="K167" i="3" s="1"/>
  <c r="J159" i="3"/>
  <c r="J151" i="3"/>
  <c r="K151" i="3" s="1"/>
  <c r="J143" i="3"/>
  <c r="J135" i="3"/>
  <c r="K135" i="3" s="1"/>
  <c r="J127" i="3"/>
  <c r="J119" i="3"/>
  <c r="J111" i="3"/>
  <c r="K111" i="3" s="1"/>
  <c r="J103" i="3"/>
  <c r="K103" i="3" s="1"/>
  <c r="J95" i="3"/>
  <c r="J87" i="3"/>
  <c r="J79" i="3"/>
  <c r="J71" i="3"/>
  <c r="J63" i="3"/>
  <c r="K63" i="3" s="1"/>
  <c r="J55" i="3"/>
  <c r="K55" i="3" s="1"/>
  <c r="J47" i="3"/>
  <c r="K47" i="3" s="1"/>
  <c r="J188" i="3"/>
  <c r="K188" i="3" s="1"/>
  <c r="J180" i="3"/>
  <c r="J172" i="3"/>
  <c r="K172" i="3" s="1"/>
  <c r="J164" i="3"/>
  <c r="K164" i="3" s="1"/>
  <c r="J156" i="3"/>
  <c r="K156" i="3" s="1"/>
  <c r="J148" i="3"/>
  <c r="K148" i="3" s="1"/>
  <c r="J140" i="3"/>
  <c r="K140" i="3" s="1"/>
  <c r="J132" i="3"/>
  <c r="K132" i="3" s="1"/>
  <c r="J124" i="3"/>
  <c r="K124" i="3" s="1"/>
  <c r="J116" i="3"/>
  <c r="J108" i="3"/>
  <c r="K108" i="3" s="1"/>
  <c r="J100" i="3"/>
  <c r="K100" i="3" s="1"/>
  <c r="J92" i="3"/>
  <c r="K92" i="3" s="1"/>
  <c r="J84" i="3"/>
  <c r="J76" i="3"/>
  <c r="K76" i="3" s="1"/>
  <c r="J68" i="3"/>
  <c r="K68" i="3" s="1"/>
  <c r="J60" i="3"/>
  <c r="K60" i="3" s="1"/>
  <c r="J52" i="3"/>
  <c r="J44" i="3"/>
  <c r="K44" i="3" s="1"/>
  <c r="J36" i="3"/>
  <c r="J28" i="3"/>
  <c r="K28" i="3" s="1"/>
  <c r="J20" i="3"/>
  <c r="K20" i="3" s="1"/>
  <c r="J12" i="3"/>
  <c r="K12" i="3" s="1"/>
  <c r="J8" i="3"/>
  <c r="K8" i="3" s="1"/>
  <c r="J21" i="3"/>
  <c r="K21" i="3" s="1"/>
  <c r="J24" i="3"/>
  <c r="K24" i="3" s="1"/>
  <c r="J37" i="3"/>
  <c r="K37" i="3" s="1"/>
  <c r="J40" i="3"/>
  <c r="K40" i="3" s="1"/>
  <c r="J54" i="3"/>
  <c r="K54" i="3" s="1"/>
  <c r="K65" i="3"/>
  <c r="J72" i="3"/>
  <c r="K72" i="3" s="1"/>
  <c r="K79" i="3"/>
  <c r="J86" i="3"/>
  <c r="J104" i="3"/>
  <c r="J118" i="3"/>
  <c r="K118" i="3" s="1"/>
  <c r="K129" i="3"/>
  <c r="J136" i="3"/>
  <c r="K136" i="3" s="1"/>
  <c r="K143" i="3"/>
  <c r="J150" i="3"/>
  <c r="J168" i="3"/>
  <c r="K168" i="3" s="1"/>
  <c r="J182" i="3"/>
  <c r="K182" i="3" s="1"/>
  <c r="K193" i="3"/>
  <c r="K14" i="4"/>
  <c r="K28" i="4"/>
  <c r="K78" i="4"/>
  <c r="K92" i="4"/>
  <c r="K142" i="4"/>
  <c r="K156" i="4"/>
  <c r="K27" i="5"/>
  <c r="K41" i="5"/>
  <c r="K73" i="5"/>
  <c r="K91" i="5"/>
  <c r="J154" i="5"/>
  <c r="K171" i="5"/>
  <c r="J183" i="5"/>
  <c r="K183" i="5" s="1"/>
  <c r="K193" i="5"/>
  <c r="K28" i="6"/>
  <c r="K37" i="7"/>
  <c r="J81" i="8"/>
  <c r="J83" i="8"/>
  <c r="K83" i="8" s="1"/>
  <c r="J80" i="8"/>
  <c r="K80" i="8" s="1"/>
  <c r="J77" i="8"/>
  <c r="K77" i="8" s="1"/>
  <c r="J69" i="8"/>
  <c r="K69" i="8" s="1"/>
  <c r="J61" i="8"/>
  <c r="K61" i="8" s="1"/>
  <c r="J53" i="8"/>
  <c r="K53" i="8" s="1"/>
  <c r="J45" i="8"/>
  <c r="K45" i="8" s="1"/>
  <c r="J37" i="8"/>
  <c r="K37" i="8" s="1"/>
  <c r="J29" i="8"/>
  <c r="K29" i="8" s="1"/>
  <c r="J21" i="8"/>
  <c r="K21" i="8" s="1"/>
  <c r="J13" i="8"/>
  <c r="K13" i="8" s="1"/>
  <c r="J74" i="8"/>
  <c r="K74" i="8" s="1"/>
  <c r="J66" i="8"/>
  <c r="K66" i="8" s="1"/>
  <c r="J58" i="8"/>
  <c r="K58" i="8" s="1"/>
  <c r="J50" i="8"/>
  <c r="K50" i="8" s="1"/>
  <c r="J42" i="8"/>
  <c r="K42" i="8" s="1"/>
  <c r="J34" i="8"/>
  <c r="K34" i="8" s="1"/>
  <c r="J26" i="8"/>
  <c r="K26" i="8" s="1"/>
  <c r="J18" i="8"/>
  <c r="K18" i="8" s="1"/>
  <c r="J10" i="8"/>
  <c r="K10" i="8" s="1"/>
  <c r="J71" i="8"/>
  <c r="K71" i="8" s="1"/>
  <c r="J63" i="8"/>
  <c r="J55" i="8"/>
  <c r="J47" i="8"/>
  <c r="J39" i="8"/>
  <c r="J31" i="8"/>
  <c r="J23" i="8"/>
  <c r="J15" i="8"/>
  <c r="J7" i="8"/>
  <c r="J79" i="8"/>
  <c r="K79" i="8" s="1"/>
  <c r="J72" i="8"/>
  <c r="K72" i="8" s="1"/>
  <c r="J68" i="8"/>
  <c r="K68" i="8" s="1"/>
  <c r="J54" i="8"/>
  <c r="K54" i="8" s="1"/>
  <c r="J40" i="8"/>
  <c r="K40" i="8" s="1"/>
  <c r="J36" i="8"/>
  <c r="K36" i="8" s="1"/>
  <c r="J22" i="8"/>
  <c r="K22" i="8" s="1"/>
  <c r="J8" i="8"/>
  <c r="K8" i="8" s="1"/>
  <c r="J75" i="8"/>
  <c r="K75" i="8" s="1"/>
  <c r="J57" i="8"/>
  <c r="J43" i="8"/>
  <c r="J25" i="8"/>
  <c r="J11" i="8"/>
  <c r="J82" i="8"/>
  <c r="K82" i="8" s="1"/>
  <c r="J78" i="8"/>
  <c r="J64" i="8"/>
  <c r="K64" i="8" s="1"/>
  <c r="J60" i="8"/>
  <c r="K60" i="8" s="1"/>
  <c r="J46" i="8"/>
  <c r="J32" i="8"/>
  <c r="K32" i="8" s="1"/>
  <c r="J28" i="8"/>
  <c r="J14" i="8"/>
  <c r="K14" i="8" s="1"/>
  <c r="J59" i="8"/>
  <c r="K59" i="8" s="1"/>
  <c r="J27" i="8"/>
  <c r="K27" i="8" s="1"/>
  <c r="J49" i="8"/>
  <c r="K49" i="8" s="1"/>
  <c r="J17" i="8"/>
  <c r="K17" i="8" s="1"/>
  <c r="J76" i="8"/>
  <c r="J67" i="8"/>
  <c r="K67" i="8" s="1"/>
  <c r="J44" i="8"/>
  <c r="K44" i="8" s="1"/>
  <c r="J35" i="8"/>
  <c r="J12" i="8"/>
  <c r="K12" i="8" s="1"/>
  <c r="K81" i="8"/>
  <c r="K15" i="3"/>
  <c r="K31" i="3"/>
  <c r="J51" i="3"/>
  <c r="K51" i="3" s="1"/>
  <c r="J65" i="3"/>
  <c r="J69" i="3"/>
  <c r="K69" i="3" s="1"/>
  <c r="J83" i="3"/>
  <c r="K83" i="3" s="1"/>
  <c r="J97" i="3"/>
  <c r="K97" i="3" s="1"/>
  <c r="J101" i="3"/>
  <c r="K101" i="3" s="1"/>
  <c r="J115" i="3"/>
  <c r="K115" i="3" s="1"/>
  <c r="J129" i="3"/>
  <c r="J133" i="3"/>
  <c r="K133" i="3" s="1"/>
  <c r="J147" i="3"/>
  <c r="K147" i="3" s="1"/>
  <c r="J161" i="3"/>
  <c r="K161" i="3" s="1"/>
  <c r="J165" i="3"/>
  <c r="K165" i="3" s="1"/>
  <c r="J179" i="3"/>
  <c r="K179" i="3" s="1"/>
  <c r="J193" i="3"/>
  <c r="K25" i="4"/>
  <c r="K89" i="4"/>
  <c r="K121" i="4"/>
  <c r="K153" i="4"/>
  <c r="J13" i="5"/>
  <c r="K13" i="5" s="1"/>
  <c r="J27" i="5"/>
  <c r="J31" i="5"/>
  <c r="K31" i="5" s="1"/>
  <c r="J45" i="5"/>
  <c r="K45" i="5" s="1"/>
  <c r="J59" i="5"/>
  <c r="K59" i="5" s="1"/>
  <c r="J63" i="5"/>
  <c r="K63" i="5" s="1"/>
  <c r="K70" i="5"/>
  <c r="J77" i="5"/>
  <c r="K77" i="5" s="1"/>
  <c r="J91" i="5"/>
  <c r="J95" i="5"/>
  <c r="K95" i="5" s="1"/>
  <c r="J102" i="5"/>
  <c r="K102" i="5" s="1"/>
  <c r="J110" i="5"/>
  <c r="K110" i="5" s="1"/>
  <c r="K114" i="5"/>
  <c r="J121" i="5"/>
  <c r="K121" i="5" s="1"/>
  <c r="J151" i="5"/>
  <c r="K151" i="5" s="1"/>
  <c r="K163" i="5"/>
  <c r="J167" i="5"/>
  <c r="K167" i="5" s="1"/>
  <c r="J176" i="5"/>
  <c r="K176" i="5" s="1"/>
  <c r="K194" i="5"/>
  <c r="K29" i="6"/>
  <c r="K8" i="7"/>
  <c r="K11" i="8"/>
  <c r="J33" i="8"/>
  <c r="K33" i="8" s="1"/>
  <c r="J38" i="8"/>
  <c r="K38" i="8" s="1"/>
  <c r="K43" i="8"/>
  <c r="J65" i="8"/>
  <c r="K65" i="8" s="1"/>
  <c r="J70" i="8"/>
  <c r="K70" i="8" s="1"/>
  <c r="K117" i="5"/>
  <c r="K158" i="5"/>
  <c r="K14" i="6"/>
  <c r="K22" i="6"/>
  <c r="K75" i="7"/>
  <c r="K31" i="8"/>
  <c r="K63" i="8"/>
  <c r="K141" i="5"/>
  <c r="K19" i="6"/>
  <c r="K15" i="10"/>
  <c r="K64" i="10"/>
  <c r="K42" i="14"/>
  <c r="J8" i="7"/>
  <c r="J12" i="7"/>
  <c r="K12" i="7" s="1"/>
  <c r="K19" i="7"/>
  <c r="J26" i="7"/>
  <c r="J40" i="7"/>
  <c r="K40" i="7" s="1"/>
  <c r="J44" i="7"/>
  <c r="K44" i="7" s="1"/>
  <c r="J58" i="7"/>
  <c r="K58" i="7" s="1"/>
  <c r="J72" i="7"/>
  <c r="K72" i="7" s="1"/>
  <c r="K7" i="8"/>
  <c r="K39" i="8"/>
  <c r="J81" i="7"/>
  <c r="K81" i="7" s="1"/>
  <c r="J73" i="7"/>
  <c r="K73" i="7" s="1"/>
  <c r="J65" i="7"/>
  <c r="K65" i="7" s="1"/>
  <c r="J57" i="7"/>
  <c r="K57" i="7" s="1"/>
  <c r="J49" i="7"/>
  <c r="K49" i="7" s="1"/>
  <c r="J41" i="7"/>
  <c r="K41" i="7" s="1"/>
  <c r="J33" i="7"/>
  <c r="K33" i="7" s="1"/>
  <c r="J25" i="7"/>
  <c r="K25" i="7" s="1"/>
  <c r="J17" i="7"/>
  <c r="K17" i="7" s="1"/>
  <c r="J9" i="7"/>
  <c r="K9" i="7" s="1"/>
  <c r="J78" i="7"/>
  <c r="K78" i="7" s="1"/>
  <c r="J70" i="7"/>
  <c r="K70" i="7" s="1"/>
  <c r="J62" i="7"/>
  <c r="K62" i="7" s="1"/>
  <c r="J54" i="7"/>
  <c r="K54" i="7" s="1"/>
  <c r="J46" i="7"/>
  <c r="K46" i="7" s="1"/>
  <c r="J38" i="7"/>
  <c r="K38" i="7" s="1"/>
  <c r="J30" i="7"/>
  <c r="K30" i="7" s="1"/>
  <c r="J22" i="7"/>
  <c r="K22" i="7" s="1"/>
  <c r="J14" i="7"/>
  <c r="K14" i="7" s="1"/>
  <c r="J75" i="7"/>
  <c r="J67" i="7"/>
  <c r="K67" i="7" s="1"/>
  <c r="J59" i="7"/>
  <c r="K59" i="7" s="1"/>
  <c r="J51" i="7"/>
  <c r="K51" i="7" s="1"/>
  <c r="J43" i="7"/>
  <c r="K43" i="7" s="1"/>
  <c r="J35" i="7"/>
  <c r="K35" i="7" s="1"/>
  <c r="J27" i="7"/>
  <c r="K27" i="7" s="1"/>
  <c r="J19" i="7"/>
  <c r="J11" i="7"/>
  <c r="K11" i="7" s="1"/>
  <c r="J23" i="7"/>
  <c r="K23" i="7" s="1"/>
  <c r="J37" i="7"/>
  <c r="K48" i="7"/>
  <c r="J55" i="7"/>
  <c r="K55" i="7" s="1"/>
  <c r="J69" i="7"/>
  <c r="K69" i="7" s="1"/>
  <c r="K19" i="11"/>
  <c r="K23" i="12"/>
  <c r="K42" i="12"/>
  <c r="K51" i="14"/>
  <c r="K9" i="6"/>
  <c r="J16" i="7"/>
  <c r="K16" i="7" s="1"/>
  <c r="J20" i="7"/>
  <c r="K20" i="7" s="1"/>
  <c r="J34" i="7"/>
  <c r="K34" i="7" s="1"/>
  <c r="J48" i="7"/>
  <c r="J52" i="7"/>
  <c r="K52" i="7" s="1"/>
  <c r="J66" i="7"/>
  <c r="K66" i="7" s="1"/>
  <c r="J80" i="7"/>
  <c r="K80" i="7" s="1"/>
  <c r="K15" i="8"/>
  <c r="K47" i="8"/>
  <c r="K32" i="10"/>
  <c r="K44" i="10"/>
  <c r="K68" i="13"/>
  <c r="K16" i="14"/>
  <c r="K24" i="14"/>
  <c r="J19" i="11"/>
  <c r="K39" i="12"/>
  <c r="K71" i="12"/>
  <c r="K32" i="14"/>
  <c r="K64" i="14"/>
  <c r="K13" i="10"/>
  <c r="K45" i="10"/>
  <c r="K9" i="11"/>
  <c r="K18" i="12"/>
  <c r="K36" i="12"/>
  <c r="K68" i="12"/>
  <c r="K37" i="13"/>
  <c r="K11" i="14"/>
  <c r="K8" i="9"/>
  <c r="M4" i="9" s="1"/>
  <c r="D15" i="1" s="1"/>
  <c r="J18" i="11"/>
  <c r="K18" i="11" s="1"/>
  <c r="J10" i="11"/>
  <c r="K10" i="11" s="1"/>
  <c r="J15" i="11"/>
  <c r="K15" i="11" s="1"/>
  <c r="J7" i="11"/>
  <c r="K7" i="11" s="1"/>
  <c r="J20" i="11"/>
  <c r="J12" i="11"/>
  <c r="K12" i="11" s="1"/>
  <c r="J9" i="11"/>
  <c r="J13" i="11"/>
  <c r="K13" i="11" s="1"/>
  <c r="K20" i="11"/>
  <c r="K47" i="12"/>
  <c r="K66" i="13"/>
  <c r="K8" i="14"/>
  <c r="K40" i="14"/>
  <c r="K72" i="14"/>
  <c r="J8" i="10"/>
  <c r="K8" i="10" s="1"/>
  <c r="J16" i="10"/>
  <c r="K16" i="10" s="1"/>
  <c r="J24" i="10"/>
  <c r="K24" i="10" s="1"/>
  <c r="J32" i="10"/>
  <c r="J40" i="10"/>
  <c r="K40" i="10" s="1"/>
  <c r="J48" i="10"/>
  <c r="K48" i="10" s="1"/>
  <c r="J56" i="10"/>
  <c r="K56" i="10" s="1"/>
  <c r="J64" i="10"/>
  <c r="J72" i="10"/>
  <c r="K72" i="10" s="1"/>
  <c r="J7" i="12"/>
  <c r="K7" i="12" s="1"/>
  <c r="J15" i="12"/>
  <c r="K15" i="12" s="1"/>
  <c r="J23" i="12"/>
  <c r="J31" i="12"/>
  <c r="K31" i="12" s="1"/>
  <c r="J39" i="12"/>
  <c r="J47" i="12"/>
  <c r="J55" i="12"/>
  <c r="K55" i="12" s="1"/>
  <c r="J63" i="12"/>
  <c r="K63" i="12" s="1"/>
  <c r="J71" i="12"/>
  <c r="J79" i="12"/>
  <c r="K79" i="12" s="1"/>
  <c r="J87" i="12"/>
  <c r="J10" i="13"/>
  <c r="J18" i="13"/>
  <c r="J26" i="13"/>
  <c r="K26" i="13" s="1"/>
  <c r="J34" i="13"/>
  <c r="K34" i="13" s="1"/>
  <c r="J42" i="13"/>
  <c r="K42" i="13" s="1"/>
  <c r="J50" i="13"/>
  <c r="K50" i="13" s="1"/>
  <c r="J58" i="13"/>
  <c r="K58" i="13" s="1"/>
  <c r="J66" i="13"/>
  <c r="J74" i="13"/>
  <c r="J82" i="13"/>
  <c r="J11" i="14"/>
  <c r="J19" i="14"/>
  <c r="K19" i="14" s="1"/>
  <c r="J27" i="14"/>
  <c r="K27" i="14" s="1"/>
  <c r="J35" i="14"/>
  <c r="K35" i="14" s="1"/>
  <c r="J43" i="14"/>
  <c r="K43" i="14" s="1"/>
  <c r="J51" i="14"/>
  <c r="J59" i="14"/>
  <c r="K59" i="14" s="1"/>
  <c r="J67" i="14"/>
  <c r="K67" i="14" s="1"/>
  <c r="J75" i="14"/>
  <c r="K75" i="14" s="1"/>
  <c r="J11" i="10"/>
  <c r="K11" i="10" s="1"/>
  <c r="J19" i="10"/>
  <c r="K19" i="10" s="1"/>
  <c r="J27" i="10"/>
  <c r="K27" i="10" s="1"/>
  <c r="J35" i="10"/>
  <c r="K35" i="10" s="1"/>
  <c r="J43" i="10"/>
  <c r="K43" i="10" s="1"/>
  <c r="J51" i="10"/>
  <c r="K51" i="10" s="1"/>
  <c r="J59" i="10"/>
  <c r="K59" i="10" s="1"/>
  <c r="J67" i="10"/>
  <c r="K67" i="10" s="1"/>
  <c r="J10" i="12"/>
  <c r="K10" i="12" s="1"/>
  <c r="J18" i="12"/>
  <c r="J26" i="12"/>
  <c r="K26" i="12" s="1"/>
  <c r="J34" i="12"/>
  <c r="K34" i="12" s="1"/>
  <c r="J42" i="12"/>
  <c r="J50" i="12"/>
  <c r="K50" i="12" s="1"/>
  <c r="J58" i="12"/>
  <c r="K58" i="12" s="1"/>
  <c r="J66" i="12"/>
  <c r="K66" i="12" s="1"/>
  <c r="J74" i="12"/>
  <c r="K74" i="12" s="1"/>
  <c r="J82" i="12"/>
  <c r="K82" i="12" s="1"/>
  <c r="J90" i="12"/>
  <c r="K90" i="12" s="1"/>
  <c r="J13" i="13"/>
  <c r="K13" i="13" s="1"/>
  <c r="J21" i="13"/>
  <c r="K21" i="13" s="1"/>
  <c r="J29" i="13"/>
  <c r="K29" i="13" s="1"/>
  <c r="J37" i="13"/>
  <c r="J45" i="13"/>
  <c r="K45" i="13" s="1"/>
  <c r="J53" i="13"/>
  <c r="K53" i="13" s="1"/>
  <c r="J61" i="13"/>
  <c r="K61" i="13" s="1"/>
  <c r="J69" i="13"/>
  <c r="K69" i="13" s="1"/>
  <c r="J77" i="13"/>
  <c r="K77" i="13" s="1"/>
  <c r="J14" i="14"/>
  <c r="K14" i="14" s="1"/>
  <c r="J22" i="14"/>
  <c r="K22" i="14" s="1"/>
  <c r="J30" i="14"/>
  <c r="K30" i="14" s="1"/>
  <c r="J38" i="14"/>
  <c r="K38" i="14" s="1"/>
  <c r="J46" i="14"/>
  <c r="K46" i="14" s="1"/>
  <c r="J54" i="14"/>
  <c r="K54" i="14" s="1"/>
  <c r="J62" i="14"/>
  <c r="K62" i="14" s="1"/>
  <c r="J70" i="14"/>
  <c r="K70" i="14" s="1"/>
  <c r="J14" i="10"/>
  <c r="K14" i="10" s="1"/>
  <c r="J22" i="10"/>
  <c r="K22" i="10" s="1"/>
  <c r="J30" i="10"/>
  <c r="K30" i="10" s="1"/>
  <c r="J38" i="10"/>
  <c r="K38" i="10" s="1"/>
  <c r="J46" i="10"/>
  <c r="K46" i="10" s="1"/>
  <c r="J54" i="10"/>
  <c r="K54" i="10" s="1"/>
  <c r="J62" i="10"/>
  <c r="K62" i="10" s="1"/>
  <c r="J13" i="12"/>
  <c r="K13" i="12" s="1"/>
  <c r="J21" i="12"/>
  <c r="K21" i="12" s="1"/>
  <c r="J29" i="12"/>
  <c r="K29" i="12" s="1"/>
  <c r="J37" i="12"/>
  <c r="K37" i="12" s="1"/>
  <c r="J45" i="12"/>
  <c r="K45" i="12" s="1"/>
  <c r="J53" i="12"/>
  <c r="K53" i="12" s="1"/>
  <c r="J61" i="12"/>
  <c r="K61" i="12" s="1"/>
  <c r="J69" i="12"/>
  <c r="K69" i="12" s="1"/>
  <c r="J77" i="12"/>
  <c r="K77" i="12" s="1"/>
  <c r="J8" i="13"/>
  <c r="K8" i="13" s="1"/>
  <c r="J16" i="13"/>
  <c r="K16" i="13" s="1"/>
  <c r="J24" i="13"/>
  <c r="K24" i="13" s="1"/>
  <c r="J32" i="13"/>
  <c r="K32" i="13" s="1"/>
  <c r="J40" i="13"/>
  <c r="K40" i="13" s="1"/>
  <c r="J48" i="13"/>
  <c r="K48" i="13" s="1"/>
  <c r="J56" i="13"/>
  <c r="K56" i="13" s="1"/>
  <c r="J64" i="13"/>
  <c r="K64" i="13" s="1"/>
  <c r="J72" i="13"/>
  <c r="K72" i="13" s="1"/>
  <c r="J9" i="14"/>
  <c r="K9" i="14" s="1"/>
  <c r="J17" i="14"/>
  <c r="K17" i="14" s="1"/>
  <c r="J25" i="14"/>
  <c r="K25" i="14" s="1"/>
  <c r="J33" i="14"/>
  <c r="K33" i="14" s="1"/>
  <c r="J41" i="14"/>
  <c r="K41" i="14" s="1"/>
  <c r="J49" i="14"/>
  <c r="K49" i="14" s="1"/>
  <c r="J57" i="14"/>
  <c r="K57" i="14" s="1"/>
  <c r="J65" i="14"/>
  <c r="K65" i="14" s="1"/>
  <c r="M4" i="5" l="1" a="1"/>
  <c r="M4" i="5" s="1"/>
  <c r="D6" i="1" s="1"/>
  <c r="M4" i="12" a="1"/>
  <c r="M4" i="12" s="1"/>
  <c r="D7" i="1" s="1"/>
  <c r="M4" i="10"/>
  <c r="D12" i="1" s="1"/>
  <c r="M4" i="7" a="1"/>
  <c r="M4" i="7" s="1"/>
  <c r="D10" i="1" s="1"/>
  <c r="M4" i="14"/>
  <c r="M4" i="3" a="1"/>
  <c r="M4" i="3" s="1"/>
  <c r="D4" i="1" s="1"/>
  <c r="M4" i="8"/>
  <c r="D9" i="1" s="1"/>
  <c r="M4" i="4" a="1"/>
  <c r="M4" i="4" s="1"/>
  <c r="D5" i="1" s="1"/>
  <c r="M4" i="2" a="1"/>
  <c r="M4" i="2" s="1"/>
  <c r="D3" i="1" s="1"/>
  <c r="M4" i="6"/>
  <c r="D13" i="1" s="1"/>
  <c r="M4" i="11"/>
  <c r="D14" i="1" s="1"/>
  <c r="M4" i="13" a="1"/>
  <c r="M4" i="13" s="1"/>
  <c r="D11" i="1" l="1"/>
  <c r="D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<sst xmlns="http://schemas.openxmlformats.org/spreadsheetml/2006/main" count="257" uniqueCount="33">
  <si>
    <t>Property Type</t>
  </si>
  <si>
    <t>Observed Volatility</t>
  </si>
  <si>
    <t>Desmoothed Volatility</t>
  </si>
  <si>
    <t>Periods Observed</t>
  </si>
  <si>
    <t>Apartment</t>
  </si>
  <si>
    <t>Industrial</t>
  </si>
  <si>
    <t>Office</t>
  </si>
  <si>
    <t>Retail</t>
  </si>
  <si>
    <t>Seniors</t>
  </si>
  <si>
    <t>Storage</t>
  </si>
  <si>
    <t>Life Science</t>
  </si>
  <si>
    <t>Hotel</t>
  </si>
  <si>
    <t>Student</t>
  </si>
  <si>
    <t>Medical Office</t>
  </si>
  <si>
    <t>Data Center</t>
  </si>
  <si>
    <t>SFR</t>
  </si>
  <si>
    <t>Manufactured</t>
  </si>
  <si>
    <t>Property Type:</t>
  </si>
  <si>
    <t>Autocorrelation Coefficient:</t>
  </si>
  <si>
    <t>Demsoothed Volatility</t>
  </si>
  <si>
    <t>Observed Returns</t>
  </si>
  <si>
    <t>Desmoothed Returns</t>
  </si>
  <si>
    <t>INC</t>
  </si>
  <si>
    <t>APP</t>
  </si>
  <si>
    <t>TGRS</t>
  </si>
  <si>
    <t>MFH</t>
  </si>
  <si>
    <t>MO</t>
  </si>
  <si>
    <t># sectors (max 100)</t>
  </si>
  <si>
    <t>expected_returns</t>
  </si>
  <si>
    <t>Annual_Volatility</t>
  </si>
  <si>
    <t>MinWt</t>
  </si>
  <si>
    <t>MaxWt</t>
  </si>
  <si>
    <t>Risk free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</si>
</sst>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164" fontId="0" fillId="0" borderId="0" xfId="1" applyNumberFormat="1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4" xfId="1" applyNumberFormat="1" applyFont="1" applyBorder="1" applyAlignment="1">
      <alignment horizontal="center"/>
    </xf>
    <xf numFmtId="10" fontId="0" fillId="0" borderId="5" xfId="1" applyNumberFormat="1" applyFont="1" applyBorder="1" applyAlignment="1">
      <alignment horizontal="center"/>
    </xf>
    <xf numFmtId="10" fontId="0" fillId="0" borderId="6" xfId="1" applyNumberFormat="1" applyFont="1" applyBorder="1" applyAlignment="1">
      <alignment horizontal="center"/>
    </xf>
    <xf numFmtId="10" fontId="0" fillId="0" borderId="7" xfId="1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165" fontId="3" fillId="2" borderId="0" xfId="0" applyNumberFormat="1" applyFont="1" applyFill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4" fillId="4" borderId="8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10" fontId="1" fillId="0" borderId="0" xfId="1" applyNumberFormat="1"/>
    <xf numFmtId="10" fontId="0" fillId="0" borderId="0" xfId="2" applyNumberFormat="1" applyFont="1"/>
    <xf numFmtId="9" fontId="0" fillId="0" borderId="0" xfId="0" applyNumberFormat="1"/>
    <xf numFmtId="10" fontId="0" fillId="0" borderId="0" xfId="0" applyNumberFormat="1"/>
    <xf numFmtId="0" fontId="2" fillId="4" borderId="9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4" borderId="9" xfId="0" applyFont="1" applyFill="1" applyBorder="1" applyAlignment="1">
      <alignment horizontal="center"/>
    </xf>
    <xf numFmtId="10" fontId="1" fillId="5" borderId="10" xfId="1" applyNumberFormat="1" applyFill="1" applyBorder="1" applyAlignment="1">
      <alignment horizontal="center"/>
    </xf>
    <xf numFmtId="0" fontId="0" fillId="0" borderId="7" xfId="0" applyBorder="1"/>
    <xf numFmtId="0" fontId="3" fillId="2" borderId="0" xfId="0" applyFont="1" applyFill="1"/>
    <xf numFmtId="0" fontId="0" fillId="0" borderId="0" xfId="0"/>
    <xf numFmtId="0" fontId="3" fillId="2" borderId="0" xfId="0" applyFont="1" applyFill="1" applyAlignment="1">
      <alignment horizontal="right"/>
    </xf>
    <xf numFmtId="10" fontId="1" fillId="3" borderId="10" xfId="1" applyNumberFormat="1" applyFill="1" applyBorder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3">
    <cellStyle name="Normal" xfId="0" builtinId="0"/>
    <cellStyle name="Percent" xfId="1" builtinId="5"/>
    <cellStyle name="Percent 2" xfId="2" xr:uid="{667F677B-4F7A-4AE2-936D-B8F95E4C0C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PMR">
  <a:themeElements>
    <a:clrScheme name="Townsend">
      <a:dk1>
        <a:srgbClr val="343233"/>
      </a:dk1>
      <a:lt1>
        <a:srgbClr val="FFFFFF"/>
      </a:lt1>
      <a:dk2>
        <a:srgbClr val="003A5D"/>
      </a:dk2>
      <a:lt2>
        <a:srgbClr val="F2F2F2"/>
      </a:lt2>
      <a:accent1>
        <a:srgbClr val="EC6B1D"/>
      </a:accent1>
      <a:accent2>
        <a:srgbClr val="145783"/>
      </a:accent2>
      <a:accent3>
        <a:srgbClr val="AFB575"/>
      </a:accent3>
      <a:accent4>
        <a:srgbClr val="8CA4A4"/>
      </a:accent4>
      <a:accent5>
        <a:srgbClr val="5A6F5E"/>
      </a:accent5>
      <a:accent6>
        <a:srgbClr val="7F8183"/>
      </a:accent6>
      <a:hlink>
        <a:srgbClr val="343233"/>
      </a:hlink>
      <a:folHlink>
        <a:srgbClr val="343233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/>
        </a:solidFill>
        <a:ln>
          <a:noFill/>
        </a:ln>
      </a:spPr>
      <a:bodyPr rtlCol="0" anchor="ctr"/>
      <a:lstStyle>
        <a:defPPr algn="ctr" defTabSz="540000">
          <a:lnSpc>
            <a:spcPct val="120000"/>
          </a:lnSpc>
          <a:defRPr sz="1400" dirty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/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marL="180000" indent="-180000" algn="l" defTabSz="540000">
          <a:lnSpc>
            <a:spcPct val="120000"/>
          </a:lnSpc>
          <a:buClr>
            <a:schemeClr val="accent1"/>
          </a:buClr>
          <a:buFont typeface="Wingdings" panose="05000000000000000000" pitchFamily="2" charset="2"/>
          <a:buChar char="§"/>
          <a:defRPr sz="1400" dirty="0"/>
        </a:defPPr>
      </a:lstStyle>
    </a:txDef>
  </a:objectDefaults>
  <a:extraClrSchemeLst/>
  <a:extLst>
    <a:ext uri="{05A4C25C-085E-4340-85A3-A5531E510DB2}">
      <thm15:themeFamily xmlns:thm15="http://schemas.microsoft.com/office/thememl/2012/main" name="PMR" id="{E2147D31-15B2-4BF2-B795-EDFF0A2C0552}" vid="{6CEC043C-6841-4BD7-9271-52DDE1A1A827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3C3A-B159-4184-824F-053E73B33D73}">
  <dimension ref="A2:CW113"/>
  <sheetViews>
    <sheetView workbookViewId="0">
      <selection activeCell="B1" sqref="B1"/>
    </sheetView>
  </sheetViews>
  <sheetFormatPr defaultRowHeight="15" x14ac:dyDescent="0.25"/>
  <cols>
    <col min="1" max="1" width="23.85546875" bestFit="1" customWidth="1"/>
  </cols>
  <sheetData>
    <row r="2" spans="1:101" x14ac:dyDescent="0.25">
      <c r="A2" t="s">
        <v>27</v>
      </c>
      <c r="B2">
        <v>13</v>
      </c>
    </row>
    <row r="3" spans="1:101" x14ac:dyDescent="0.25"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</row>
    <row r="4" spans="1:101" x14ac:dyDescent="0.25">
      <c r="A4" t="s">
        <v>28</v>
      </c>
      <c r="B4" s="30">
        <v>6.5552443305275432E-2</v>
      </c>
      <c r="C4" s="30">
        <v>0.10138031355294808</v>
      </c>
      <c r="D4" s="30">
        <v>3.4316779939888908E-2</v>
      </c>
      <c r="E4" s="30">
        <v>5.5641768421451632E-2</v>
      </c>
      <c r="F4" s="30">
        <v>9.9732921750553816E-2</v>
      </c>
      <c r="G4" s="30">
        <v>0.11256441153853203</v>
      </c>
      <c r="H4" s="30">
        <v>9.3403120447071553E-2</v>
      </c>
      <c r="I4" s="30">
        <v>4.4260048702476462E-2</v>
      </c>
      <c r="J4" s="30">
        <v>5.9025678401787962E-2</v>
      </c>
      <c r="K4" s="30">
        <v>5.0263474003378716E-2</v>
      </c>
      <c r="L4" s="30">
        <v>9.7754625972805709E-2</v>
      </c>
      <c r="M4" s="30">
        <v>7.6541480864766642E-2</v>
      </c>
      <c r="N4" s="30">
        <v>9.0157904530545396E-2</v>
      </c>
      <c r="O4" s="30"/>
      <c r="P4" s="30"/>
      <c r="Q4" s="30"/>
      <c r="R4" s="30"/>
      <c r="S4" s="30"/>
      <c r="T4" s="30"/>
    </row>
    <row r="5" spans="1:101" x14ac:dyDescent="0.25">
      <c r="A5" t="s">
        <v>29</v>
      </c>
      <c r="B5" s="30">
        <v>8.4048468251118058E-2</v>
      </c>
      <c r="C5" s="30">
        <v>0.10959466277443264</v>
      </c>
      <c r="D5" s="30">
        <v>0.12320215488719125</v>
      </c>
      <c r="E5" s="30">
        <v>8.2179632496135718E-2</v>
      </c>
      <c r="F5" s="30">
        <v>7.9697376398971648E-2</v>
      </c>
      <c r="G5" s="30">
        <v>9.7438821599635822E-2</v>
      </c>
      <c r="H5" s="30">
        <v>0.15417380228553659</v>
      </c>
      <c r="I5" s="30">
        <v>0.13237086002008167</v>
      </c>
      <c r="J5" s="30">
        <v>9.7438821599635822E-2</v>
      </c>
      <c r="K5" s="30">
        <v>8.9113231169838589E-2</v>
      </c>
      <c r="L5" s="30">
        <v>6.1603622146780813E-2</v>
      </c>
      <c r="M5" s="30">
        <v>0.22680716413377808</v>
      </c>
      <c r="N5" s="30">
        <v>7.8458687205422706E-2</v>
      </c>
      <c r="O5" s="30"/>
      <c r="P5" s="30"/>
      <c r="Q5" s="30"/>
      <c r="R5" s="30"/>
      <c r="S5" s="30"/>
      <c r="T5" s="30"/>
    </row>
    <row r="8" spans="1:101" x14ac:dyDescent="0.25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</row>
    <row r="9" spans="1:101" x14ac:dyDescent="0.25">
      <c r="A9" t="s">
        <v>4</v>
      </c>
      <c r="B9" s="29">
        <v>7.0641450153591965E-3</v>
      </c>
      <c r="C9" s="29">
        <v>7.8517629524474282E-3</v>
      </c>
      <c r="D9" s="29">
        <v>8.5357734084982456E-3</v>
      </c>
      <c r="E9" s="29">
        <v>4.9623100974217063E-3</v>
      </c>
      <c r="F9" s="29">
        <v>2.7196364668076825E-3</v>
      </c>
      <c r="G9" s="29">
        <v>4.5531987107173847E-3</v>
      </c>
      <c r="H9" s="29">
        <v>7.1024148482642492E-3</v>
      </c>
      <c r="I9" s="29">
        <v>4.6230568841358182E-4</v>
      </c>
      <c r="J9" s="29">
        <v>3.8791355813437567E-3</v>
      </c>
      <c r="K9" s="29">
        <v>1.8155095427107474E-2</v>
      </c>
      <c r="L9" s="29">
        <v>2.6504499252535431E-3</v>
      </c>
      <c r="M9" s="29">
        <v>5.6805480744432498E-3</v>
      </c>
      <c r="N9" s="29">
        <v>1.5681671118309812E-3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25">
      <c r="A10" t="s">
        <v>5</v>
      </c>
      <c r="B10" s="29">
        <v>7.8517629524474282E-3</v>
      </c>
      <c r="C10" s="29">
        <v>1.201099010864161E-2</v>
      </c>
      <c r="D10" s="29">
        <v>1.0018156850639967E-2</v>
      </c>
      <c r="E10" s="29">
        <v>5.5227877249103717E-3</v>
      </c>
      <c r="F10" s="29">
        <v>4.970205665501084E-3</v>
      </c>
      <c r="G10" s="29">
        <v>5.986024351724864E-3</v>
      </c>
      <c r="H10" s="29">
        <v>8.8730470736160423E-3</v>
      </c>
      <c r="I10" s="29">
        <v>-1.3667762338472741E-3</v>
      </c>
      <c r="J10" s="29">
        <v>5.1033042954030479E-3</v>
      </c>
      <c r="K10" s="29">
        <v>2.7272216716163183E-2</v>
      </c>
      <c r="L10" s="29">
        <v>1.9597947638639031E-3</v>
      </c>
      <c r="M10" s="29">
        <v>7.3110452182324481E-3</v>
      </c>
      <c r="N10" s="29">
        <v>2.3317981156151771E-3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25">
      <c r="A11" t="s">
        <v>6</v>
      </c>
      <c r="B11" s="29">
        <v>8.5357734084982456E-3</v>
      </c>
      <c r="C11" s="29">
        <v>1.0018156850639967E-2</v>
      </c>
      <c r="D11" s="29">
        <v>1.5178770968847458E-2</v>
      </c>
      <c r="E11" s="29">
        <v>7.3510271738829744E-3</v>
      </c>
      <c r="F11" s="29">
        <v>3.8767699570654264E-3</v>
      </c>
      <c r="G11" s="29">
        <v>9.0860404114779299E-3</v>
      </c>
      <c r="H11" s="29">
        <v>1.1923220015476882E-2</v>
      </c>
      <c r="I11" s="29">
        <v>-2.3767154795856201E-3</v>
      </c>
      <c r="J11" s="29">
        <v>7.2373684105073244E-3</v>
      </c>
      <c r="K11" s="29">
        <v>1.1789751784187535E-2</v>
      </c>
      <c r="L11" s="29">
        <v>4.4658519293801473E-3</v>
      </c>
      <c r="M11" s="29">
        <v>7.3885303912343157E-3</v>
      </c>
      <c r="N11" s="29">
        <v>1.6774693151616362E-3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 x14ac:dyDescent="0.25">
      <c r="A12" t="s">
        <v>7</v>
      </c>
      <c r="B12" s="29">
        <v>4.9623100974217063E-3</v>
      </c>
      <c r="C12" s="29">
        <v>5.5227877249103717E-3</v>
      </c>
      <c r="D12" s="29">
        <v>7.3510271738829744E-3</v>
      </c>
      <c r="E12" s="29">
        <v>6.753491997199928E-3</v>
      </c>
      <c r="F12" s="29">
        <v>1.9150966312786962E-3</v>
      </c>
      <c r="G12" s="29">
        <v>5.7577756091628726E-3</v>
      </c>
      <c r="H12" s="29">
        <v>4.5886264546759993E-3</v>
      </c>
      <c r="I12" s="29">
        <v>-4.1258291692096921E-4</v>
      </c>
      <c r="J12" s="29">
        <v>3.0545714294534761E-3</v>
      </c>
      <c r="K12" s="29">
        <v>6.470991907406104E-3</v>
      </c>
      <c r="L12" s="29">
        <v>2.8075659965163266E-3</v>
      </c>
      <c r="M12" s="29">
        <v>4.0811974139641945E-3</v>
      </c>
      <c r="N12" s="29">
        <v>1.4471843436699285E-3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 x14ac:dyDescent="0.25">
      <c r="A13" t="s">
        <v>8</v>
      </c>
      <c r="B13" s="29">
        <v>2.7196364668076825E-3</v>
      </c>
      <c r="C13" s="29">
        <v>4.970205665501084E-3</v>
      </c>
      <c r="D13" s="29">
        <v>3.8767699570654264E-3</v>
      </c>
      <c r="E13" s="29">
        <v>1.9150966312786962E-3</v>
      </c>
      <c r="F13" s="29">
        <v>3.795006261603345E-3</v>
      </c>
      <c r="G13" s="29">
        <v>5.5901583795279911E-4</v>
      </c>
      <c r="H13" s="29">
        <v>2.7234562945898533E-3</v>
      </c>
      <c r="I13" s="29">
        <v>1.6463136973081548E-4</v>
      </c>
      <c r="J13" s="29">
        <v>1.5169414391148891E-3</v>
      </c>
      <c r="K13" s="29">
        <v>7.5012681566520383E-4</v>
      </c>
      <c r="L13" s="29">
        <v>6.4461816243684979E-4</v>
      </c>
      <c r="M13" s="29">
        <v>2.0725215406105194E-3</v>
      </c>
      <c r="N13" s="29">
        <v>3.9534564851145489E-4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 x14ac:dyDescent="0.25">
      <c r="A14" t="s">
        <v>9</v>
      </c>
      <c r="B14" s="29">
        <v>4.5531987107173847E-3</v>
      </c>
      <c r="C14" s="29">
        <v>5.986024351724864E-3</v>
      </c>
      <c r="D14" s="29">
        <v>9.0860404114779299E-3</v>
      </c>
      <c r="E14" s="29">
        <v>5.7577756091628726E-3</v>
      </c>
      <c r="F14" s="29">
        <v>5.5901583795279911E-4</v>
      </c>
      <c r="G14" s="29">
        <v>1.7522044582456053E-2</v>
      </c>
      <c r="H14" s="29">
        <v>1.0078022991288588E-2</v>
      </c>
      <c r="I14" s="29">
        <v>2.9746545477989106E-4</v>
      </c>
      <c r="J14" s="29">
        <v>6.9534920805873271E-3</v>
      </c>
      <c r="K14" s="29">
        <v>4.4843358133222471E-3</v>
      </c>
      <c r="L14" s="29">
        <v>3.1605183533951445E-3</v>
      </c>
      <c r="M14" s="29">
        <v>4.6451498336913749E-3</v>
      </c>
      <c r="N14" s="29">
        <v>1.6129045026932309E-3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 x14ac:dyDescent="0.25">
      <c r="A15" t="s">
        <v>10</v>
      </c>
      <c r="B15" s="29">
        <v>7.1024148482642492E-3</v>
      </c>
      <c r="C15" s="29">
        <v>8.8730470736160423E-3</v>
      </c>
      <c r="D15" s="29">
        <v>1.1923220015476882E-2</v>
      </c>
      <c r="E15" s="29">
        <v>4.5886264546759993E-3</v>
      </c>
      <c r="F15" s="29">
        <v>2.7234562945898533E-3</v>
      </c>
      <c r="G15" s="29">
        <v>1.0078022991288588E-2</v>
      </c>
      <c r="H15" s="29">
        <v>2.3769561311179729E-2</v>
      </c>
      <c r="I15" s="29">
        <v>1.1728728771088543E-4</v>
      </c>
      <c r="J15" s="29">
        <v>5.6350079122560754E-3</v>
      </c>
      <c r="K15" s="29">
        <v>1.4649817519647919E-2</v>
      </c>
      <c r="L15" s="29">
        <v>4.3931368202007664E-3</v>
      </c>
      <c r="M15" s="29">
        <v>7.1680878220598499E-3</v>
      </c>
      <c r="N15" s="29">
        <v>7.5940623072683891E-4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 x14ac:dyDescent="0.25">
      <c r="A16" t="s">
        <v>11</v>
      </c>
      <c r="B16" s="29">
        <v>4.6230568841358182E-4</v>
      </c>
      <c r="C16" s="29">
        <v>-1.3667762338472741E-3</v>
      </c>
      <c r="D16" s="29">
        <v>-2.3767154795856201E-3</v>
      </c>
      <c r="E16" s="29">
        <v>-4.1258291692096921E-4</v>
      </c>
      <c r="F16" s="29">
        <v>1.6463136973081548E-4</v>
      </c>
      <c r="G16" s="29">
        <v>2.9746545477989106E-4</v>
      </c>
      <c r="H16" s="29">
        <v>1.1728728771088543E-4</v>
      </c>
      <c r="I16" s="29">
        <v>6.1557655979983606E-3</v>
      </c>
      <c r="J16" s="29">
        <v>3.3006542855894494E-4</v>
      </c>
      <c r="K16" s="29">
        <v>1.4256543606165433E-3</v>
      </c>
      <c r="L16" s="29">
        <v>4.3174458827288024E-4</v>
      </c>
      <c r="M16" s="29">
        <v>8.8970068644179728E-4</v>
      </c>
      <c r="N16" s="29">
        <v>-1.6514137405430342E-4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 x14ac:dyDescent="0.25">
      <c r="A17" t="s">
        <v>12</v>
      </c>
      <c r="B17" s="29">
        <v>3.8791355813437567E-3</v>
      </c>
      <c r="C17" s="29">
        <v>5.1033042954030479E-3</v>
      </c>
      <c r="D17" s="29">
        <v>7.2373684105073244E-3</v>
      </c>
      <c r="E17" s="29">
        <v>3.0545714294534761E-3</v>
      </c>
      <c r="F17" s="29">
        <v>1.5169414391148891E-3</v>
      </c>
      <c r="G17" s="29">
        <v>6.9534920805873271E-3</v>
      </c>
      <c r="H17" s="29">
        <v>5.6350079122560754E-3</v>
      </c>
      <c r="I17" s="29">
        <v>3.3006542855894494E-4</v>
      </c>
      <c r="J17" s="29">
        <v>7.9411679695290897E-3</v>
      </c>
      <c r="K17" s="29">
        <v>6.1234946947127467E-3</v>
      </c>
      <c r="L17" s="29">
        <v>1.3444289365997619E-3</v>
      </c>
      <c r="M17" s="29">
        <v>3.2672045199487617E-3</v>
      </c>
      <c r="N17" s="29">
        <v>9.56713046254724E-4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 x14ac:dyDescent="0.25">
      <c r="A18" t="s">
        <v>13</v>
      </c>
      <c r="B18" s="29">
        <v>1.8155095427107474E-2</v>
      </c>
      <c r="C18" s="29">
        <v>2.7272216716163183E-2</v>
      </c>
      <c r="D18" s="29">
        <v>1.1789751784187535E-2</v>
      </c>
      <c r="E18" s="29">
        <v>6.470991907406104E-3</v>
      </c>
      <c r="F18" s="29">
        <v>7.5012681566520383E-4</v>
      </c>
      <c r="G18" s="29">
        <v>4.4843358133222471E-3</v>
      </c>
      <c r="H18" s="29">
        <v>1.4649817519647919E-2</v>
      </c>
      <c r="I18" s="29">
        <v>1.4256543606165433E-3</v>
      </c>
      <c r="J18" s="29">
        <v>6.1234946947127467E-3</v>
      </c>
      <c r="K18" s="29">
        <v>5.1441489702406543E-2</v>
      </c>
      <c r="L18" s="29">
        <v>3.0282636048969279E-3</v>
      </c>
      <c r="M18" s="29">
        <v>2.1172173071386819E-2</v>
      </c>
      <c r="N18" s="29">
        <v>3.2538277245896603E-3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 x14ac:dyDescent="0.25">
      <c r="A19" t="s">
        <v>14</v>
      </c>
      <c r="B19" s="29">
        <v>2.6504499252535431E-3</v>
      </c>
      <c r="C19" s="29">
        <v>1.9597947638639031E-3</v>
      </c>
      <c r="D19" s="29">
        <v>4.4658519293801473E-3</v>
      </c>
      <c r="E19" s="29">
        <v>2.8075659965163266E-3</v>
      </c>
      <c r="F19" s="29">
        <v>6.4461816243684979E-4</v>
      </c>
      <c r="G19" s="29">
        <v>3.1605183533951445E-3</v>
      </c>
      <c r="H19" s="29">
        <v>4.3931368202007664E-3</v>
      </c>
      <c r="I19" s="29">
        <v>4.3174458827288024E-4</v>
      </c>
      <c r="J19" s="29">
        <v>1.3444289365997619E-3</v>
      </c>
      <c r="K19" s="29">
        <v>3.0282636048969279E-3</v>
      </c>
      <c r="L19" s="29">
        <v>6.3516718048793617E-3</v>
      </c>
      <c r="M19" s="29">
        <v>3.1173107118209311E-3</v>
      </c>
      <c r="N19" s="29">
        <v>8.4817871187061963E-4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 x14ac:dyDescent="0.25">
      <c r="A20" t="s">
        <v>15</v>
      </c>
      <c r="B20" s="29">
        <v>5.6805480744432498E-3</v>
      </c>
      <c r="C20" s="29">
        <v>7.3110452182324481E-3</v>
      </c>
      <c r="D20" s="29">
        <v>7.3885303912343157E-3</v>
      </c>
      <c r="E20" s="29">
        <v>4.0811974139641945E-3</v>
      </c>
      <c r="F20" s="29">
        <v>2.0725215406105194E-3</v>
      </c>
      <c r="G20" s="29">
        <v>4.6451498336913749E-3</v>
      </c>
      <c r="H20" s="29">
        <v>7.1680878220598499E-3</v>
      </c>
      <c r="I20" s="29">
        <v>8.8970068644179728E-4</v>
      </c>
      <c r="J20" s="29">
        <v>3.2672045199487617E-3</v>
      </c>
      <c r="K20" s="29">
        <v>2.1172173071386819E-2</v>
      </c>
      <c r="L20" s="29">
        <v>3.1173107118209311E-3</v>
      </c>
      <c r="M20" s="29">
        <v>9.4943239547256551E-3</v>
      </c>
      <c r="N20" s="29">
        <v>1.9946253750396316E-3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 x14ac:dyDescent="0.25">
      <c r="A21" t="s">
        <v>16</v>
      </c>
      <c r="B21" s="29">
        <v>1.5681671118309812E-3</v>
      </c>
      <c r="C21" s="29">
        <v>2.3317981156151771E-3</v>
      </c>
      <c r="D21" s="29">
        <v>1.6774693151616362E-3</v>
      </c>
      <c r="E21" s="29">
        <v>1.4471843436699285E-3</v>
      </c>
      <c r="F21" s="29">
        <v>3.9534564851145489E-4</v>
      </c>
      <c r="G21" s="29">
        <v>1.6129045026932309E-3</v>
      </c>
      <c r="H21" s="29">
        <v>7.5940623072683891E-4</v>
      </c>
      <c r="I21" s="29">
        <v>-1.6514137405430342E-4</v>
      </c>
      <c r="J21" s="29">
        <v>9.56713046254724E-4</v>
      </c>
      <c r="K21" s="29">
        <v>3.2538277245896603E-3</v>
      </c>
      <c r="L21" s="29">
        <v>8.4817871187061963E-4</v>
      </c>
      <c r="M21" s="29">
        <v>1.9946253750396316E-3</v>
      </c>
      <c r="N21" s="29">
        <v>3.3369272665408536E-3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 x14ac:dyDescent="0.25"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 x14ac:dyDescent="0.25"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 x14ac:dyDescent="0.25"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 x14ac:dyDescent="0.25"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 x14ac:dyDescent="0.25"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 x14ac:dyDescent="0.25"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 x14ac:dyDescent="0.25"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 x14ac:dyDescent="0.25"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 x14ac:dyDescent="0.25"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 x14ac:dyDescent="0.25"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  <row r="32" spans="1:101" x14ac:dyDescent="0.25"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</row>
    <row r="33" spans="22:101" x14ac:dyDescent="0.25"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</row>
    <row r="34" spans="22:101" x14ac:dyDescent="0.25"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</row>
    <row r="35" spans="22:101" x14ac:dyDescent="0.25"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</row>
    <row r="36" spans="22:101" x14ac:dyDescent="0.25"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</row>
    <row r="37" spans="22:101" x14ac:dyDescent="0.25"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</row>
    <row r="38" spans="22:101" x14ac:dyDescent="0.25"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</row>
    <row r="39" spans="22:101" x14ac:dyDescent="0.25"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</row>
    <row r="40" spans="22:101" x14ac:dyDescent="0.25"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</row>
    <row r="41" spans="22:101" x14ac:dyDescent="0.25"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 spans="22:101" x14ac:dyDescent="0.25"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</row>
    <row r="43" spans="22:101" x14ac:dyDescent="0.25"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</row>
    <row r="44" spans="22:101" x14ac:dyDescent="0.25"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</row>
    <row r="45" spans="22:101" x14ac:dyDescent="0.25"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</row>
    <row r="46" spans="22:101" x14ac:dyDescent="0.25"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</row>
    <row r="47" spans="22:101" x14ac:dyDescent="0.25"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</row>
    <row r="48" spans="22:101" x14ac:dyDescent="0.25"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</row>
    <row r="49" spans="22:101" x14ac:dyDescent="0.25"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</row>
    <row r="50" spans="22:101" x14ac:dyDescent="0.25"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</row>
    <row r="51" spans="22:101" x14ac:dyDescent="0.25"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</row>
    <row r="52" spans="22:101" x14ac:dyDescent="0.25"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</row>
    <row r="53" spans="22:101" x14ac:dyDescent="0.25"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</row>
    <row r="54" spans="22:101" x14ac:dyDescent="0.25"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</row>
    <row r="55" spans="22:101" x14ac:dyDescent="0.25"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</row>
    <row r="56" spans="22:101" x14ac:dyDescent="0.25"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</row>
    <row r="57" spans="22:101" x14ac:dyDescent="0.25"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</row>
    <row r="58" spans="22:101" x14ac:dyDescent="0.25"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</row>
    <row r="59" spans="22:101" x14ac:dyDescent="0.25"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</row>
    <row r="60" spans="22:101" x14ac:dyDescent="0.25"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</row>
    <row r="61" spans="22:101" x14ac:dyDescent="0.25"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</row>
    <row r="62" spans="22:101" x14ac:dyDescent="0.25"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</row>
    <row r="63" spans="22:101" x14ac:dyDescent="0.25"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</row>
    <row r="64" spans="22:101" x14ac:dyDescent="0.25"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</row>
    <row r="65" spans="22:101" x14ac:dyDescent="0.25"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</row>
    <row r="66" spans="22:101" x14ac:dyDescent="0.25"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</row>
    <row r="67" spans="22:101" x14ac:dyDescent="0.25"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</row>
    <row r="68" spans="22:101" x14ac:dyDescent="0.25"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</row>
    <row r="69" spans="22:101" x14ac:dyDescent="0.25"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</row>
    <row r="70" spans="22:101" x14ac:dyDescent="0.25"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</row>
    <row r="71" spans="22:101" x14ac:dyDescent="0.25"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</row>
    <row r="72" spans="22:101" x14ac:dyDescent="0.25"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</row>
    <row r="73" spans="22:101" x14ac:dyDescent="0.25"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</row>
    <row r="74" spans="22:101" x14ac:dyDescent="0.25"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</row>
    <row r="75" spans="22:101" x14ac:dyDescent="0.25"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</row>
    <row r="76" spans="22:101" x14ac:dyDescent="0.25"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</row>
    <row r="77" spans="22:101" x14ac:dyDescent="0.25"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</row>
    <row r="78" spans="22:101" x14ac:dyDescent="0.25"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</row>
    <row r="79" spans="22:101" x14ac:dyDescent="0.25"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</row>
    <row r="80" spans="22:101" x14ac:dyDescent="0.25"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</row>
    <row r="81" spans="22:101" x14ac:dyDescent="0.25"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</row>
    <row r="82" spans="22:101" x14ac:dyDescent="0.25"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</row>
    <row r="83" spans="22:101" x14ac:dyDescent="0.25"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</row>
    <row r="84" spans="22:101" x14ac:dyDescent="0.25"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</row>
    <row r="85" spans="22:101" x14ac:dyDescent="0.25"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</row>
    <row r="86" spans="22:101" x14ac:dyDescent="0.25"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</row>
    <row r="87" spans="22:101" x14ac:dyDescent="0.25"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1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</row>
    <row r="88" spans="22:101" x14ac:dyDescent="0.25"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</row>
    <row r="89" spans="22:101" x14ac:dyDescent="0.25"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1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</row>
    <row r="90" spans="22:101" x14ac:dyDescent="0.25"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</row>
    <row r="91" spans="22:101" x14ac:dyDescent="0.25"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1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</row>
    <row r="92" spans="22:101" x14ac:dyDescent="0.25"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</row>
    <row r="93" spans="22:101" x14ac:dyDescent="0.25"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1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</row>
    <row r="94" spans="22:101" x14ac:dyDescent="0.25"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</row>
    <row r="95" spans="22:101" x14ac:dyDescent="0.25"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</row>
    <row r="96" spans="22:101" x14ac:dyDescent="0.25"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1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</row>
    <row r="97" spans="1:101" x14ac:dyDescent="0.25"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1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</row>
    <row r="98" spans="1:101" x14ac:dyDescent="0.25"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</row>
    <row r="99" spans="1:101" x14ac:dyDescent="0.25"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1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</row>
    <row r="100" spans="1:101" x14ac:dyDescent="0.25"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</row>
    <row r="101" spans="1:101" x14ac:dyDescent="0.25"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1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</row>
    <row r="102" spans="1:101" x14ac:dyDescent="0.25"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</row>
    <row r="103" spans="1:101" x14ac:dyDescent="0.25"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</v>
      </c>
      <c r="CS103">
        <v>0</v>
      </c>
      <c r="CT103">
        <v>0</v>
      </c>
      <c r="CU103">
        <v>0</v>
      </c>
      <c r="CV103">
        <v>0</v>
      </c>
      <c r="CW103">
        <v>0</v>
      </c>
    </row>
    <row r="104" spans="1:101" x14ac:dyDescent="0.25"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1</v>
      </c>
      <c r="CT104">
        <v>0</v>
      </c>
      <c r="CU104">
        <v>0</v>
      </c>
      <c r="CV104">
        <v>0</v>
      </c>
      <c r="CW104">
        <v>0</v>
      </c>
    </row>
    <row r="105" spans="1:101" x14ac:dyDescent="0.25"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1</v>
      </c>
      <c r="CU105">
        <v>0</v>
      </c>
      <c r="CV105">
        <v>0</v>
      </c>
      <c r="CW105">
        <v>0</v>
      </c>
    </row>
    <row r="106" spans="1:101" x14ac:dyDescent="0.25"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1</v>
      </c>
      <c r="CV106">
        <v>0</v>
      </c>
      <c r="CW106">
        <v>0</v>
      </c>
    </row>
    <row r="107" spans="1:101" x14ac:dyDescent="0.25"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1</v>
      </c>
      <c r="CW107">
        <v>0</v>
      </c>
    </row>
    <row r="108" spans="1:101" x14ac:dyDescent="0.25"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1</v>
      </c>
    </row>
    <row r="110" spans="1:101" x14ac:dyDescent="0.25">
      <c r="A110" t="s">
        <v>30</v>
      </c>
      <c r="B110" s="31">
        <v>0</v>
      </c>
      <c r="C110" s="31">
        <v>0</v>
      </c>
      <c r="D110" s="31">
        <v>0</v>
      </c>
      <c r="E110" s="31">
        <v>0</v>
      </c>
      <c r="F110" s="31">
        <v>0</v>
      </c>
      <c r="G110" s="31">
        <v>0</v>
      </c>
      <c r="H110" s="31">
        <v>0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  <c r="AC110" s="31">
        <v>0</v>
      </c>
      <c r="AD110" s="31">
        <v>0</v>
      </c>
      <c r="AE110" s="31">
        <v>0</v>
      </c>
      <c r="AF110" s="31">
        <v>0</v>
      </c>
      <c r="AG110" s="31">
        <v>0</v>
      </c>
      <c r="AH110" s="31">
        <v>0</v>
      </c>
      <c r="AI110" s="31">
        <v>0</v>
      </c>
      <c r="AJ110" s="31">
        <v>0</v>
      </c>
      <c r="AK110" s="31">
        <v>0</v>
      </c>
      <c r="AL110" s="31">
        <v>0</v>
      </c>
      <c r="AM110" s="31">
        <v>0</v>
      </c>
      <c r="AN110" s="31">
        <v>0</v>
      </c>
      <c r="AO110" s="31">
        <v>0</v>
      </c>
      <c r="AP110" s="31">
        <v>0</v>
      </c>
      <c r="AQ110" s="31">
        <v>0</v>
      </c>
      <c r="AR110" s="31">
        <v>0</v>
      </c>
      <c r="AS110" s="31">
        <v>0</v>
      </c>
      <c r="AT110" s="31">
        <v>0</v>
      </c>
      <c r="AU110" s="31">
        <v>0</v>
      </c>
      <c r="AV110" s="31">
        <v>0</v>
      </c>
      <c r="AW110" s="31">
        <v>0</v>
      </c>
      <c r="AX110" s="31">
        <v>0</v>
      </c>
      <c r="AY110" s="31">
        <v>0</v>
      </c>
      <c r="AZ110" s="31">
        <v>0</v>
      </c>
      <c r="BA110" s="31">
        <v>0</v>
      </c>
      <c r="BB110" s="31">
        <v>0</v>
      </c>
      <c r="BC110" s="31">
        <v>0</v>
      </c>
      <c r="BD110" s="31">
        <v>0</v>
      </c>
      <c r="BE110" s="31">
        <v>0</v>
      </c>
      <c r="BF110" s="31">
        <v>0</v>
      </c>
      <c r="BG110" s="31">
        <v>0</v>
      </c>
      <c r="BH110" s="31">
        <v>0</v>
      </c>
      <c r="BI110" s="31">
        <v>0</v>
      </c>
      <c r="BJ110" s="31">
        <v>0</v>
      </c>
      <c r="BK110" s="31">
        <v>0</v>
      </c>
      <c r="BL110" s="31">
        <v>0</v>
      </c>
      <c r="BM110" s="31">
        <v>0</v>
      </c>
      <c r="BN110" s="31">
        <v>0</v>
      </c>
      <c r="BO110" s="31">
        <v>0</v>
      </c>
      <c r="BP110" s="31">
        <v>0</v>
      </c>
      <c r="BQ110" s="31">
        <v>0</v>
      </c>
      <c r="BR110" s="31">
        <v>0</v>
      </c>
      <c r="BS110" s="31">
        <v>0</v>
      </c>
      <c r="BT110" s="31">
        <v>0</v>
      </c>
      <c r="BU110" s="31">
        <v>0</v>
      </c>
      <c r="BV110" s="31">
        <v>0</v>
      </c>
      <c r="BW110" s="31">
        <v>0</v>
      </c>
      <c r="BX110" s="31">
        <v>0</v>
      </c>
      <c r="BY110" s="31">
        <v>0</v>
      </c>
      <c r="BZ110" s="31">
        <v>0</v>
      </c>
      <c r="CA110" s="31">
        <v>0</v>
      </c>
      <c r="CB110" s="31">
        <v>0</v>
      </c>
      <c r="CC110" s="31">
        <v>0</v>
      </c>
      <c r="CD110" s="31">
        <v>0</v>
      </c>
      <c r="CE110" s="31">
        <v>0</v>
      </c>
      <c r="CF110" s="31">
        <v>0</v>
      </c>
      <c r="CG110" s="31">
        <v>0</v>
      </c>
      <c r="CH110" s="31">
        <v>0</v>
      </c>
      <c r="CI110" s="31">
        <v>0</v>
      </c>
      <c r="CJ110" s="31">
        <v>0</v>
      </c>
      <c r="CK110" s="31">
        <v>0</v>
      </c>
      <c r="CL110" s="31">
        <v>0</v>
      </c>
      <c r="CM110" s="31">
        <v>0</v>
      </c>
      <c r="CN110" s="31">
        <v>0</v>
      </c>
      <c r="CO110" s="31">
        <v>0</v>
      </c>
      <c r="CP110" s="31">
        <v>0</v>
      </c>
      <c r="CQ110" s="31">
        <v>0</v>
      </c>
      <c r="CR110" s="31">
        <v>0</v>
      </c>
      <c r="CS110" s="31">
        <v>0</v>
      </c>
      <c r="CT110" s="31">
        <v>0</v>
      </c>
      <c r="CU110" s="31">
        <v>0</v>
      </c>
      <c r="CV110" s="31">
        <v>0</v>
      </c>
      <c r="CW110" s="31">
        <v>0</v>
      </c>
    </row>
    <row r="111" spans="1:101" x14ac:dyDescent="0.25">
      <c r="A111" t="s">
        <v>31</v>
      </c>
      <c r="B111" s="31">
        <v>1</v>
      </c>
      <c r="C111" s="31">
        <v>1</v>
      </c>
      <c r="D111" s="31">
        <v>1</v>
      </c>
      <c r="E111" s="31">
        <v>1</v>
      </c>
      <c r="F111" s="31">
        <v>1</v>
      </c>
      <c r="G111" s="31">
        <v>1</v>
      </c>
      <c r="H111" s="31">
        <v>1</v>
      </c>
      <c r="I111" s="31">
        <v>1</v>
      </c>
      <c r="J111" s="31">
        <v>1</v>
      </c>
      <c r="K111" s="31">
        <v>1</v>
      </c>
      <c r="L111" s="31">
        <v>1</v>
      </c>
      <c r="M111" s="31">
        <v>1</v>
      </c>
      <c r="N111" s="31">
        <v>1</v>
      </c>
      <c r="O111" s="31">
        <v>1</v>
      </c>
      <c r="P111" s="31">
        <v>1</v>
      </c>
      <c r="Q111" s="31">
        <v>1</v>
      </c>
      <c r="R111" s="31">
        <v>1</v>
      </c>
      <c r="S111" s="31">
        <v>1</v>
      </c>
      <c r="T111" s="31">
        <v>1</v>
      </c>
      <c r="U111" s="31">
        <v>1</v>
      </c>
      <c r="V111" s="31">
        <v>1</v>
      </c>
      <c r="W111" s="31">
        <v>1</v>
      </c>
      <c r="X111" s="31">
        <v>1</v>
      </c>
      <c r="Y111" s="31">
        <v>1</v>
      </c>
      <c r="Z111" s="31">
        <v>1</v>
      </c>
      <c r="AA111" s="31">
        <v>1</v>
      </c>
      <c r="AB111" s="31">
        <v>1</v>
      </c>
      <c r="AC111" s="31">
        <v>1</v>
      </c>
      <c r="AD111" s="31">
        <v>1</v>
      </c>
      <c r="AE111" s="31">
        <v>1</v>
      </c>
      <c r="AF111" s="31">
        <v>1</v>
      </c>
      <c r="AG111" s="31">
        <v>1</v>
      </c>
      <c r="AH111" s="31">
        <v>1</v>
      </c>
      <c r="AI111" s="31">
        <v>1</v>
      </c>
      <c r="AJ111" s="31">
        <v>1</v>
      </c>
      <c r="AK111" s="31">
        <v>1</v>
      </c>
      <c r="AL111" s="31">
        <v>1</v>
      </c>
      <c r="AM111" s="31">
        <v>1</v>
      </c>
      <c r="AN111" s="31">
        <v>1</v>
      </c>
      <c r="AO111" s="31">
        <v>1</v>
      </c>
      <c r="AP111" s="31">
        <v>1</v>
      </c>
      <c r="AQ111" s="31">
        <v>1</v>
      </c>
      <c r="AR111" s="31">
        <v>1</v>
      </c>
      <c r="AS111" s="31">
        <v>1</v>
      </c>
      <c r="AT111" s="31">
        <v>1</v>
      </c>
      <c r="AU111" s="31">
        <v>1</v>
      </c>
      <c r="AV111" s="31">
        <v>1</v>
      </c>
      <c r="AW111" s="31">
        <v>1</v>
      </c>
      <c r="AX111" s="31">
        <v>1</v>
      </c>
      <c r="AY111" s="31">
        <v>1</v>
      </c>
      <c r="AZ111" s="31">
        <v>1</v>
      </c>
      <c r="BA111" s="31">
        <v>1</v>
      </c>
      <c r="BB111" s="31">
        <v>1</v>
      </c>
      <c r="BC111" s="31">
        <v>1</v>
      </c>
      <c r="BD111" s="31">
        <v>1</v>
      </c>
      <c r="BE111" s="31">
        <v>1</v>
      </c>
      <c r="BF111" s="31">
        <v>1</v>
      </c>
      <c r="BG111" s="31">
        <v>1</v>
      </c>
      <c r="BH111" s="31">
        <v>1</v>
      </c>
      <c r="BI111" s="31">
        <v>1</v>
      </c>
      <c r="BJ111" s="31">
        <v>1</v>
      </c>
      <c r="BK111" s="31">
        <v>1</v>
      </c>
      <c r="BL111" s="31">
        <v>1</v>
      </c>
      <c r="BM111" s="31">
        <v>1</v>
      </c>
      <c r="BN111" s="31">
        <v>1</v>
      </c>
      <c r="BO111" s="31">
        <v>1</v>
      </c>
      <c r="BP111" s="31">
        <v>1</v>
      </c>
      <c r="BQ111" s="31">
        <v>1</v>
      </c>
      <c r="BR111" s="31">
        <v>1</v>
      </c>
      <c r="BS111" s="31">
        <v>1</v>
      </c>
      <c r="BT111" s="31">
        <v>1</v>
      </c>
      <c r="BU111" s="31">
        <v>1</v>
      </c>
      <c r="BV111" s="31">
        <v>1</v>
      </c>
      <c r="BW111" s="31">
        <v>1</v>
      </c>
      <c r="BX111" s="31">
        <v>1</v>
      </c>
      <c r="BY111" s="31">
        <v>1</v>
      </c>
      <c r="BZ111" s="31">
        <v>1</v>
      </c>
      <c r="CA111" s="31">
        <v>1</v>
      </c>
      <c r="CB111" s="31">
        <v>1</v>
      </c>
      <c r="CC111" s="31">
        <v>1</v>
      </c>
      <c r="CD111" s="31">
        <v>1</v>
      </c>
      <c r="CE111" s="31">
        <v>1</v>
      </c>
      <c r="CF111" s="31">
        <v>1</v>
      </c>
      <c r="CG111" s="31">
        <v>1</v>
      </c>
      <c r="CH111" s="31">
        <v>1</v>
      </c>
      <c r="CI111" s="31">
        <v>1</v>
      </c>
      <c r="CJ111" s="31">
        <v>1</v>
      </c>
      <c r="CK111" s="31">
        <v>1</v>
      </c>
      <c r="CL111" s="31">
        <v>1</v>
      </c>
      <c r="CM111" s="31">
        <v>1</v>
      </c>
      <c r="CN111" s="31">
        <v>1</v>
      </c>
      <c r="CO111" s="31">
        <v>1</v>
      </c>
      <c r="CP111" s="31">
        <v>1</v>
      </c>
      <c r="CQ111" s="31">
        <v>1</v>
      </c>
      <c r="CR111" s="31">
        <v>1</v>
      </c>
      <c r="CS111" s="31">
        <v>1</v>
      </c>
      <c r="CT111" s="31">
        <v>1</v>
      </c>
      <c r="CU111" s="31">
        <v>1</v>
      </c>
      <c r="CV111" s="31">
        <v>1</v>
      </c>
      <c r="CW111" s="31">
        <v>1</v>
      </c>
    </row>
    <row r="113" spans="1:2" x14ac:dyDescent="0.25">
      <c r="A113" t="s">
        <v>32</v>
      </c>
      <c r="B113" s="32">
        <v>4.2000000000000003E-2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4"/>
  <sheetViews>
    <sheetView workbookViewId="0"/>
  </sheetViews>
  <sheetFormatPr defaultRowHeight="15" x14ac:dyDescent="0.25"/>
  <sheetData>
    <row r="1" spans="1:14" x14ac:dyDescent="0.25">
      <c r="B1" t="s">
        <v>4</v>
      </c>
      <c r="C1" t="s">
        <v>5</v>
      </c>
      <c r="D1" t="s">
        <v>6</v>
      </c>
      <c r="E1" t="s">
        <v>7</v>
      </c>
      <c r="F1" t="s">
        <v>14</v>
      </c>
      <c r="G1" t="s">
        <v>11</v>
      </c>
      <c r="H1" t="s">
        <v>10</v>
      </c>
      <c r="I1" t="s">
        <v>16</v>
      </c>
      <c r="J1" t="s">
        <v>13</v>
      </c>
      <c r="K1" t="s">
        <v>15</v>
      </c>
      <c r="L1" t="s">
        <v>8</v>
      </c>
      <c r="M1" t="s">
        <v>9</v>
      </c>
      <c r="N1" t="s">
        <v>12</v>
      </c>
    </row>
    <row r="2" spans="1:14" x14ac:dyDescent="0.25">
      <c r="A2" t="s">
        <v>4</v>
      </c>
      <c r="B2" s="29">
        <f ca="1">_xlfn.COVARIANCE.S(INDIRECT("'" &amp; $A2 &amp; "'!K7:K86"), INDIRECT("'" &amp; B$1 &amp; "'!K7:K86"))*4</f>
        <v>7.0641450153591965E-3</v>
      </c>
      <c r="C2" s="29">
        <f t="shared" ref="C2:N2" ca="1" si="0">_xlfn.COVARIANCE.S(INDIRECT("'" &amp; $A2 &amp; "'!K7:K86"), INDIRECT("'" &amp; C$1 &amp; "'!K7:K86"))*4</f>
        <v>7.8517629524474282E-3</v>
      </c>
      <c r="D2" s="29">
        <f t="shared" ca="1" si="0"/>
        <v>8.5357734084982456E-3</v>
      </c>
      <c r="E2" s="29">
        <f t="shared" ca="1" si="0"/>
        <v>4.9623100974217063E-3</v>
      </c>
      <c r="F2" s="29">
        <f t="shared" ca="1" si="0"/>
        <v>2.7196364668076825E-3</v>
      </c>
      <c r="G2" s="29">
        <f t="shared" ca="1" si="0"/>
        <v>4.5531987107173847E-3</v>
      </c>
      <c r="H2" s="29">
        <f t="shared" ca="1" si="0"/>
        <v>7.1024148482642492E-3</v>
      </c>
      <c r="I2" s="29">
        <f t="shared" ca="1" si="0"/>
        <v>4.6230568841358182E-4</v>
      </c>
      <c r="J2" s="29">
        <f t="shared" ca="1" si="0"/>
        <v>3.8791355813437567E-3</v>
      </c>
      <c r="K2" s="29">
        <f t="shared" ca="1" si="0"/>
        <v>1.8155095427107474E-2</v>
      </c>
      <c r="L2" s="29">
        <f t="shared" ca="1" si="0"/>
        <v>2.6504499252535431E-3</v>
      </c>
      <c r="M2" s="29">
        <f t="shared" ca="1" si="0"/>
        <v>5.6805480744432498E-3</v>
      </c>
      <c r="N2" s="29">
        <f t="shared" ca="1" si="0"/>
        <v>1.5681671118309812E-3</v>
      </c>
    </row>
    <row r="3" spans="1:14" x14ac:dyDescent="0.25">
      <c r="A3" t="s">
        <v>5</v>
      </c>
      <c r="B3" s="29">
        <f t="shared" ref="B3:N14" ca="1" si="1">_xlfn.COVARIANCE.S(INDIRECT("'" &amp; $A3 &amp; "'!K7:K86"), INDIRECT("'" &amp; B$1 &amp; "'!K7:K86"))*4</f>
        <v>7.8517629524474282E-3</v>
      </c>
      <c r="C3" s="29">
        <f t="shared" ca="1" si="1"/>
        <v>1.201099010864161E-2</v>
      </c>
      <c r="D3" s="29">
        <f t="shared" ca="1" si="1"/>
        <v>1.0018156850639967E-2</v>
      </c>
      <c r="E3" s="29">
        <f t="shared" ca="1" si="1"/>
        <v>5.5227877249103717E-3</v>
      </c>
      <c r="F3" s="29">
        <f t="shared" ca="1" si="1"/>
        <v>4.970205665501084E-3</v>
      </c>
      <c r="G3" s="29">
        <f t="shared" ca="1" si="1"/>
        <v>5.986024351724864E-3</v>
      </c>
      <c r="H3" s="29">
        <f t="shared" ca="1" si="1"/>
        <v>8.8730470736160423E-3</v>
      </c>
      <c r="I3" s="29">
        <f t="shared" ca="1" si="1"/>
        <v>-1.3667762338472741E-3</v>
      </c>
      <c r="J3" s="29">
        <f t="shared" ca="1" si="1"/>
        <v>5.1033042954030479E-3</v>
      </c>
      <c r="K3" s="29">
        <f t="shared" ca="1" si="1"/>
        <v>2.7272216716163183E-2</v>
      </c>
      <c r="L3" s="29">
        <f t="shared" ca="1" si="1"/>
        <v>1.9597947638639031E-3</v>
      </c>
      <c r="M3" s="29">
        <f t="shared" ca="1" si="1"/>
        <v>7.3110452182324481E-3</v>
      </c>
      <c r="N3" s="29">
        <f t="shared" ca="1" si="1"/>
        <v>2.3317981156151771E-3</v>
      </c>
    </row>
    <row r="4" spans="1:14" x14ac:dyDescent="0.25">
      <c r="A4" t="s">
        <v>6</v>
      </c>
      <c r="B4" s="29">
        <f t="shared" ca="1" si="1"/>
        <v>8.5357734084982456E-3</v>
      </c>
      <c r="C4" s="29">
        <f t="shared" ca="1" si="1"/>
        <v>1.0018156850639967E-2</v>
      </c>
      <c r="D4" s="29">
        <f t="shared" ca="1" si="1"/>
        <v>1.5178770968847458E-2</v>
      </c>
      <c r="E4" s="29">
        <f t="shared" ca="1" si="1"/>
        <v>7.3510271738829744E-3</v>
      </c>
      <c r="F4" s="29">
        <f t="shared" ca="1" si="1"/>
        <v>3.8767699570654264E-3</v>
      </c>
      <c r="G4" s="29">
        <f t="shared" ca="1" si="1"/>
        <v>9.0860404114779299E-3</v>
      </c>
      <c r="H4" s="29">
        <f t="shared" ca="1" si="1"/>
        <v>1.1923220015476882E-2</v>
      </c>
      <c r="I4" s="29">
        <f t="shared" ca="1" si="1"/>
        <v>-2.3767154795856201E-3</v>
      </c>
      <c r="J4" s="29">
        <f t="shared" ca="1" si="1"/>
        <v>7.2373684105073244E-3</v>
      </c>
      <c r="K4" s="29">
        <f t="shared" ca="1" si="1"/>
        <v>1.1789751784187535E-2</v>
      </c>
      <c r="L4" s="29">
        <f t="shared" ca="1" si="1"/>
        <v>4.4658519293801473E-3</v>
      </c>
      <c r="M4" s="29">
        <f t="shared" ca="1" si="1"/>
        <v>7.3885303912343157E-3</v>
      </c>
      <c r="N4" s="29">
        <f t="shared" ca="1" si="1"/>
        <v>1.6774693151616362E-3</v>
      </c>
    </row>
    <row r="5" spans="1:14" x14ac:dyDescent="0.25">
      <c r="A5" t="s">
        <v>7</v>
      </c>
      <c r="B5" s="29">
        <f t="shared" ca="1" si="1"/>
        <v>4.9623100974217063E-3</v>
      </c>
      <c r="C5" s="29">
        <f t="shared" ca="1" si="1"/>
        <v>5.5227877249103717E-3</v>
      </c>
      <c r="D5" s="29">
        <f t="shared" ca="1" si="1"/>
        <v>7.3510271738829744E-3</v>
      </c>
      <c r="E5" s="29">
        <f t="shared" ca="1" si="1"/>
        <v>6.753491997199928E-3</v>
      </c>
      <c r="F5" s="29">
        <f t="shared" ca="1" si="1"/>
        <v>1.9150966312786962E-3</v>
      </c>
      <c r="G5" s="29">
        <f t="shared" ca="1" si="1"/>
        <v>5.7577756091628726E-3</v>
      </c>
      <c r="H5" s="29">
        <f t="shared" ca="1" si="1"/>
        <v>4.5886264546759993E-3</v>
      </c>
      <c r="I5" s="29">
        <f t="shared" ca="1" si="1"/>
        <v>-4.1258291692096921E-4</v>
      </c>
      <c r="J5" s="29">
        <f t="shared" ca="1" si="1"/>
        <v>3.0545714294534761E-3</v>
      </c>
      <c r="K5" s="29">
        <f t="shared" ca="1" si="1"/>
        <v>6.470991907406104E-3</v>
      </c>
      <c r="L5" s="29">
        <f t="shared" ca="1" si="1"/>
        <v>2.8075659965163266E-3</v>
      </c>
      <c r="M5" s="29">
        <f t="shared" ca="1" si="1"/>
        <v>4.0811974139641945E-3</v>
      </c>
      <c r="N5" s="29">
        <f t="shared" ca="1" si="1"/>
        <v>1.4471843436699285E-3</v>
      </c>
    </row>
    <row r="6" spans="1:14" x14ac:dyDescent="0.25">
      <c r="A6" t="s">
        <v>14</v>
      </c>
      <c r="B6" s="29">
        <f t="shared" ca="1" si="1"/>
        <v>2.7196364668076825E-3</v>
      </c>
      <c r="C6" s="29">
        <f t="shared" ca="1" si="1"/>
        <v>4.970205665501084E-3</v>
      </c>
      <c r="D6" s="29">
        <f t="shared" ca="1" si="1"/>
        <v>3.8767699570654264E-3</v>
      </c>
      <c r="E6" s="29">
        <f t="shared" ca="1" si="1"/>
        <v>1.9150966312786962E-3</v>
      </c>
      <c r="F6" s="29">
        <f t="shared" ca="1" si="1"/>
        <v>3.795006261603345E-3</v>
      </c>
      <c r="G6" s="29">
        <f t="shared" ca="1" si="1"/>
        <v>5.5901583795279911E-4</v>
      </c>
      <c r="H6" s="29">
        <f t="shared" ca="1" si="1"/>
        <v>2.7234562945898533E-3</v>
      </c>
      <c r="I6" s="29">
        <f t="shared" ca="1" si="1"/>
        <v>1.6463136973081548E-4</v>
      </c>
      <c r="J6" s="29">
        <f t="shared" ca="1" si="1"/>
        <v>1.5169414391148891E-3</v>
      </c>
      <c r="K6" s="29">
        <f t="shared" ca="1" si="1"/>
        <v>7.5012681566520383E-4</v>
      </c>
      <c r="L6" s="29">
        <f t="shared" ca="1" si="1"/>
        <v>6.4461816243684979E-4</v>
      </c>
      <c r="M6" s="29">
        <f t="shared" ca="1" si="1"/>
        <v>2.0725215406105194E-3</v>
      </c>
      <c r="N6" s="29">
        <f t="shared" ca="1" si="1"/>
        <v>3.9534564851145489E-4</v>
      </c>
    </row>
    <row r="7" spans="1:14" x14ac:dyDescent="0.25">
      <c r="A7" t="s">
        <v>11</v>
      </c>
      <c r="B7" s="29">
        <f t="shared" ca="1" si="1"/>
        <v>4.5531987107173847E-3</v>
      </c>
      <c r="C7" s="29">
        <f t="shared" ca="1" si="1"/>
        <v>5.986024351724864E-3</v>
      </c>
      <c r="D7" s="29">
        <f t="shared" ca="1" si="1"/>
        <v>9.0860404114779299E-3</v>
      </c>
      <c r="E7" s="29">
        <f t="shared" ca="1" si="1"/>
        <v>5.7577756091628726E-3</v>
      </c>
      <c r="F7" s="29">
        <f t="shared" ca="1" si="1"/>
        <v>5.5901583795279911E-4</v>
      </c>
      <c r="G7" s="29">
        <f t="shared" ca="1" si="1"/>
        <v>1.7522044582456053E-2</v>
      </c>
      <c r="H7" s="29">
        <f t="shared" ca="1" si="1"/>
        <v>1.0078022991288588E-2</v>
      </c>
      <c r="I7" s="29">
        <f t="shared" ca="1" si="1"/>
        <v>2.9746545477989106E-4</v>
      </c>
      <c r="J7" s="29">
        <f t="shared" ca="1" si="1"/>
        <v>6.9534920805873271E-3</v>
      </c>
      <c r="K7" s="29">
        <f t="shared" ca="1" si="1"/>
        <v>4.4843358133222471E-3</v>
      </c>
      <c r="L7" s="29">
        <f t="shared" ca="1" si="1"/>
        <v>3.1605183533951445E-3</v>
      </c>
      <c r="M7" s="29">
        <f t="shared" ca="1" si="1"/>
        <v>4.6451498336913749E-3</v>
      </c>
      <c r="N7" s="29">
        <f t="shared" ca="1" si="1"/>
        <v>1.6129045026932309E-3</v>
      </c>
    </row>
    <row r="8" spans="1:14" x14ac:dyDescent="0.25">
      <c r="A8" t="s">
        <v>10</v>
      </c>
      <c r="B8" s="29">
        <f t="shared" ca="1" si="1"/>
        <v>7.1024148482642492E-3</v>
      </c>
      <c r="C8" s="29">
        <f t="shared" ca="1" si="1"/>
        <v>8.8730470736160423E-3</v>
      </c>
      <c r="D8" s="29">
        <f t="shared" ca="1" si="1"/>
        <v>1.1923220015476882E-2</v>
      </c>
      <c r="E8" s="29">
        <f t="shared" ca="1" si="1"/>
        <v>4.5886264546759993E-3</v>
      </c>
      <c r="F8" s="29">
        <f t="shared" ca="1" si="1"/>
        <v>2.7234562945898533E-3</v>
      </c>
      <c r="G8" s="29">
        <f t="shared" ca="1" si="1"/>
        <v>1.0078022991288588E-2</v>
      </c>
      <c r="H8" s="29">
        <f t="shared" ca="1" si="1"/>
        <v>2.3769561311179729E-2</v>
      </c>
      <c r="I8" s="29">
        <f t="shared" ca="1" si="1"/>
        <v>1.1728728771088543E-4</v>
      </c>
      <c r="J8" s="29">
        <f t="shared" ca="1" si="1"/>
        <v>5.6350079122560754E-3</v>
      </c>
      <c r="K8" s="29">
        <f t="shared" ca="1" si="1"/>
        <v>1.4649817519647919E-2</v>
      </c>
      <c r="L8" s="29">
        <f t="shared" ca="1" si="1"/>
        <v>4.3931368202007664E-3</v>
      </c>
      <c r="M8" s="29">
        <f t="shared" ca="1" si="1"/>
        <v>7.1680878220598499E-3</v>
      </c>
      <c r="N8" s="29">
        <f t="shared" ca="1" si="1"/>
        <v>7.5940623072683891E-4</v>
      </c>
    </row>
    <row r="9" spans="1:14" x14ac:dyDescent="0.25">
      <c r="A9" t="s">
        <v>16</v>
      </c>
      <c r="B9" s="29">
        <f t="shared" ca="1" si="1"/>
        <v>4.6230568841358182E-4</v>
      </c>
      <c r="C9" s="29">
        <f t="shared" ca="1" si="1"/>
        <v>-1.3667762338472741E-3</v>
      </c>
      <c r="D9" s="29">
        <f t="shared" ca="1" si="1"/>
        <v>-2.3767154795856201E-3</v>
      </c>
      <c r="E9" s="29">
        <f t="shared" ca="1" si="1"/>
        <v>-4.1258291692096921E-4</v>
      </c>
      <c r="F9" s="29">
        <f t="shared" ca="1" si="1"/>
        <v>1.6463136973081548E-4</v>
      </c>
      <c r="G9" s="29">
        <f t="shared" ca="1" si="1"/>
        <v>2.9746545477989106E-4</v>
      </c>
      <c r="H9" s="29">
        <f t="shared" ca="1" si="1"/>
        <v>1.1728728771088543E-4</v>
      </c>
      <c r="I9" s="29">
        <f t="shared" ca="1" si="1"/>
        <v>6.1557655979983606E-3</v>
      </c>
      <c r="J9" s="29">
        <f t="shared" ca="1" si="1"/>
        <v>3.3006542855894494E-4</v>
      </c>
      <c r="K9" s="29">
        <f t="shared" ca="1" si="1"/>
        <v>1.4256543606165433E-3</v>
      </c>
      <c r="L9" s="29">
        <f t="shared" ca="1" si="1"/>
        <v>4.3174458827288024E-4</v>
      </c>
      <c r="M9" s="29">
        <f t="shared" ca="1" si="1"/>
        <v>8.8970068644179728E-4</v>
      </c>
      <c r="N9" s="29">
        <f t="shared" ca="1" si="1"/>
        <v>-1.6514137405430342E-4</v>
      </c>
    </row>
    <row r="10" spans="1:14" x14ac:dyDescent="0.25">
      <c r="A10" t="s">
        <v>13</v>
      </c>
      <c r="B10" s="29">
        <f t="shared" ca="1" si="1"/>
        <v>3.8791355813437567E-3</v>
      </c>
      <c r="C10" s="29">
        <f t="shared" ca="1" si="1"/>
        <v>5.1033042954030479E-3</v>
      </c>
      <c r="D10" s="29">
        <f t="shared" ca="1" si="1"/>
        <v>7.2373684105073244E-3</v>
      </c>
      <c r="E10" s="29">
        <f t="shared" ca="1" si="1"/>
        <v>3.0545714294534761E-3</v>
      </c>
      <c r="F10" s="29">
        <f t="shared" ca="1" si="1"/>
        <v>1.5169414391148891E-3</v>
      </c>
      <c r="G10" s="29">
        <f t="shared" ca="1" si="1"/>
        <v>6.9534920805873271E-3</v>
      </c>
      <c r="H10" s="29">
        <f t="shared" ca="1" si="1"/>
        <v>5.6350079122560754E-3</v>
      </c>
      <c r="I10" s="29">
        <f t="shared" ca="1" si="1"/>
        <v>3.3006542855894494E-4</v>
      </c>
      <c r="J10" s="29">
        <f t="shared" ca="1" si="1"/>
        <v>7.9411679695290897E-3</v>
      </c>
      <c r="K10" s="29">
        <f t="shared" ca="1" si="1"/>
        <v>6.1234946947127467E-3</v>
      </c>
      <c r="L10" s="29">
        <f t="shared" ca="1" si="1"/>
        <v>1.3444289365997619E-3</v>
      </c>
      <c r="M10" s="29">
        <f t="shared" ca="1" si="1"/>
        <v>3.2672045199487617E-3</v>
      </c>
      <c r="N10" s="29">
        <f t="shared" ca="1" si="1"/>
        <v>9.56713046254724E-4</v>
      </c>
    </row>
    <row r="11" spans="1:14" x14ac:dyDescent="0.25">
      <c r="A11" t="s">
        <v>15</v>
      </c>
      <c r="B11" s="29">
        <f t="shared" ca="1" si="1"/>
        <v>1.8155095427107474E-2</v>
      </c>
      <c r="C11" s="29">
        <f t="shared" ca="1" si="1"/>
        <v>2.7272216716163183E-2</v>
      </c>
      <c r="D11" s="29">
        <f t="shared" ca="1" si="1"/>
        <v>1.1789751784187535E-2</v>
      </c>
      <c r="E11" s="29">
        <f t="shared" ca="1" si="1"/>
        <v>6.470991907406104E-3</v>
      </c>
      <c r="F11" s="29">
        <f t="shared" ca="1" si="1"/>
        <v>7.5012681566520383E-4</v>
      </c>
      <c r="G11" s="29">
        <f t="shared" ca="1" si="1"/>
        <v>4.4843358133222471E-3</v>
      </c>
      <c r="H11" s="29">
        <f t="shared" ca="1" si="1"/>
        <v>1.4649817519647919E-2</v>
      </c>
      <c r="I11" s="29">
        <f t="shared" ca="1" si="1"/>
        <v>1.4256543606165433E-3</v>
      </c>
      <c r="J11" s="29">
        <f t="shared" ca="1" si="1"/>
        <v>6.1234946947127467E-3</v>
      </c>
      <c r="K11" s="29">
        <f t="shared" ca="1" si="1"/>
        <v>5.1441489702406543E-2</v>
      </c>
      <c r="L11" s="29">
        <f t="shared" ca="1" si="1"/>
        <v>3.0282636048969279E-3</v>
      </c>
      <c r="M11" s="29">
        <f t="shared" ca="1" si="1"/>
        <v>2.1172173071386819E-2</v>
      </c>
      <c r="N11" s="29">
        <f t="shared" ca="1" si="1"/>
        <v>3.2538277245896603E-3</v>
      </c>
    </row>
    <row r="12" spans="1:14" x14ac:dyDescent="0.25">
      <c r="A12" t="s">
        <v>8</v>
      </c>
      <c r="B12" s="29">
        <f t="shared" ca="1" si="1"/>
        <v>2.6504499252535431E-3</v>
      </c>
      <c r="C12" s="29">
        <f t="shared" ca="1" si="1"/>
        <v>1.9597947638639031E-3</v>
      </c>
      <c r="D12" s="29">
        <f t="shared" ca="1" si="1"/>
        <v>4.4658519293801473E-3</v>
      </c>
      <c r="E12" s="29">
        <f t="shared" ca="1" si="1"/>
        <v>2.8075659965163266E-3</v>
      </c>
      <c r="F12" s="29">
        <f t="shared" ca="1" si="1"/>
        <v>6.4461816243684979E-4</v>
      </c>
      <c r="G12" s="29">
        <f t="shared" ca="1" si="1"/>
        <v>3.1605183533951445E-3</v>
      </c>
      <c r="H12" s="29">
        <f t="shared" ca="1" si="1"/>
        <v>4.3931368202007664E-3</v>
      </c>
      <c r="I12" s="29">
        <f t="shared" ca="1" si="1"/>
        <v>4.3174458827288024E-4</v>
      </c>
      <c r="J12" s="29">
        <f t="shared" ca="1" si="1"/>
        <v>1.3444289365997619E-3</v>
      </c>
      <c r="K12" s="29">
        <f t="shared" ca="1" si="1"/>
        <v>3.0282636048969279E-3</v>
      </c>
      <c r="L12" s="29">
        <f t="shared" ca="1" si="1"/>
        <v>6.3516718048793617E-3</v>
      </c>
      <c r="M12" s="29">
        <f t="shared" ca="1" si="1"/>
        <v>3.1173107118209311E-3</v>
      </c>
      <c r="N12" s="29">
        <f t="shared" ca="1" si="1"/>
        <v>8.4817871187061963E-4</v>
      </c>
    </row>
    <row r="13" spans="1:14" x14ac:dyDescent="0.25">
      <c r="A13" t="s">
        <v>9</v>
      </c>
      <c r="B13" s="29">
        <f t="shared" ca="1" si="1"/>
        <v>5.6805480744432498E-3</v>
      </c>
      <c r="C13" s="29">
        <f t="shared" ca="1" si="1"/>
        <v>7.3110452182324481E-3</v>
      </c>
      <c r="D13" s="29">
        <f t="shared" ca="1" si="1"/>
        <v>7.3885303912343157E-3</v>
      </c>
      <c r="E13" s="29">
        <f t="shared" ca="1" si="1"/>
        <v>4.0811974139641945E-3</v>
      </c>
      <c r="F13" s="29">
        <f t="shared" ca="1" si="1"/>
        <v>2.0725215406105194E-3</v>
      </c>
      <c r="G13" s="29">
        <f t="shared" ca="1" si="1"/>
        <v>4.6451498336913749E-3</v>
      </c>
      <c r="H13" s="29">
        <f t="shared" ca="1" si="1"/>
        <v>7.1680878220598499E-3</v>
      </c>
      <c r="I13" s="29">
        <f t="shared" ca="1" si="1"/>
        <v>8.8970068644179728E-4</v>
      </c>
      <c r="J13" s="29">
        <f t="shared" ca="1" si="1"/>
        <v>3.2672045199487617E-3</v>
      </c>
      <c r="K13" s="29">
        <f t="shared" ca="1" si="1"/>
        <v>2.1172173071386819E-2</v>
      </c>
      <c r="L13" s="29">
        <f t="shared" ca="1" si="1"/>
        <v>3.1173107118209311E-3</v>
      </c>
      <c r="M13" s="29">
        <f t="shared" ca="1" si="1"/>
        <v>9.4943239547256551E-3</v>
      </c>
      <c r="N13" s="29">
        <f t="shared" ca="1" si="1"/>
        <v>1.9946253750396316E-3</v>
      </c>
    </row>
    <row r="14" spans="1:14" x14ac:dyDescent="0.25">
      <c r="A14" t="s">
        <v>12</v>
      </c>
      <c r="B14" s="29">
        <f t="shared" ca="1" si="1"/>
        <v>1.5681671118309812E-3</v>
      </c>
      <c r="C14" s="29">
        <f t="shared" ca="1" si="1"/>
        <v>2.3317981156151771E-3</v>
      </c>
      <c r="D14" s="29">
        <f t="shared" ca="1" si="1"/>
        <v>1.6774693151616362E-3</v>
      </c>
      <c r="E14" s="29">
        <f t="shared" ca="1" si="1"/>
        <v>1.4471843436699285E-3</v>
      </c>
      <c r="F14" s="29">
        <f t="shared" ca="1" si="1"/>
        <v>3.9534564851145489E-4</v>
      </c>
      <c r="G14" s="29">
        <f t="shared" ca="1" si="1"/>
        <v>1.6129045026932309E-3</v>
      </c>
      <c r="H14" s="29">
        <f t="shared" ca="1" si="1"/>
        <v>7.5940623072683891E-4</v>
      </c>
      <c r="I14" s="29">
        <f t="shared" ca="1" si="1"/>
        <v>-1.6514137405430342E-4</v>
      </c>
      <c r="J14" s="29">
        <f t="shared" ca="1" si="1"/>
        <v>9.56713046254724E-4</v>
      </c>
      <c r="K14" s="29">
        <f t="shared" ca="1" si="1"/>
        <v>3.2538277245896603E-3</v>
      </c>
      <c r="L14" s="29">
        <f t="shared" ca="1" si="1"/>
        <v>8.4817871187061963E-4</v>
      </c>
      <c r="M14" s="29">
        <f t="shared" ca="1" si="1"/>
        <v>1.9946253750396316E-3</v>
      </c>
      <c r="N14" s="29">
        <f t="shared" ca="1" si="1"/>
        <v>3.3369272665408536E-3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5"/>
  <sheetViews>
    <sheetView workbookViewId="0"/>
  </sheetViews>
  <sheetFormatPr defaultRowHeight="15" x14ac:dyDescent="0.25"/>
  <cols>
    <col min="2" max="5" width="22.28515625" customWidth="1"/>
  </cols>
  <sheetData>
    <row r="2" spans="2:7" x14ac:dyDescent="0.25">
      <c r="B2" s="25" t="s">
        <v>0</v>
      </c>
      <c r="C2" s="27" t="s">
        <v>1</v>
      </c>
      <c r="D2" s="27" t="s">
        <v>2</v>
      </c>
      <c r="E2" s="28" t="s">
        <v>3</v>
      </c>
    </row>
    <row r="3" spans="2:7" x14ac:dyDescent="0.25">
      <c r="B3" s="26" t="s">
        <v>4</v>
      </c>
      <c r="C3" s="24">
        <f>+Apartment!F4</f>
        <v>5.5844423131918099E-2</v>
      </c>
      <c r="D3" s="24">
        <f>+Apartment!M4</f>
        <v>8.4048468251118058E-2</v>
      </c>
      <c r="E3" s="3">
        <v>80</v>
      </c>
      <c r="G3" s="29" cm="1">
        <f t="array" aca="1" ref="G3" ca="1">(PRODUCT(_xlfn._xlws.FILTER(INDIRECT("'" &amp; B3 &amp; "'!K7:K86") + 1, ISNUMBER(INDIRECT("'" &amp; B3 &amp; "'!K7:K86")))) ^ (1 / (COUNTA(INDIRECT("'" &amp; B3 &amp; "'!K7:K86")) / 4))) - 1</f>
        <v>6.5552443305275432E-2</v>
      </c>
    </row>
    <row r="4" spans="2:7" x14ac:dyDescent="0.25">
      <c r="B4" s="26" t="s">
        <v>5</v>
      </c>
      <c r="C4" s="24">
        <f>+Industrial!F4</f>
        <v>6.5625507351866424E-2</v>
      </c>
      <c r="D4" s="24">
        <f>+Industrial!M4</f>
        <v>0.10959466277443264</v>
      </c>
      <c r="E4" s="3">
        <v>80</v>
      </c>
      <c r="G4" s="29" cm="1">
        <f t="array" aca="1" ref="G4" ca="1">(PRODUCT(_xlfn._xlws.FILTER(INDIRECT("'" &amp; B4 &amp; "'!K7:K86") + 1, ISNUMBER(INDIRECT("'" &amp; B4 &amp; "'!K7:K86")))) ^ (1 / (COUNTA(INDIRECT("'" &amp; B4 &amp; "'!K7:K86")) / 4))) - 1</f>
        <v>0.10138031355294808</v>
      </c>
    </row>
    <row r="5" spans="2:7" x14ac:dyDescent="0.25">
      <c r="B5" s="26" t="s">
        <v>6</v>
      </c>
      <c r="C5" s="24">
        <f>+Office!F4</f>
        <v>6.2188162769192645E-2</v>
      </c>
      <c r="D5" s="24">
        <f>+Office!M4</f>
        <v>0.12320215488719125</v>
      </c>
      <c r="E5" s="3">
        <v>80</v>
      </c>
      <c r="G5" s="29" cm="1">
        <f t="array" aca="1" ref="G5" ca="1">(PRODUCT(_xlfn._xlws.FILTER(INDIRECT("'" &amp; B5 &amp; "'!K7:K86") + 1, ISNUMBER(INDIRECT("'" &amp; B5 &amp; "'!K7:K86")))) ^ (1 / (COUNTA(INDIRECT("'" &amp; B5 &amp; "'!K7:K86")) / 4))) - 1</f>
        <v>3.4316779939888908E-2</v>
      </c>
    </row>
    <row r="6" spans="2:7" x14ac:dyDescent="0.25">
      <c r="B6" s="26" t="s">
        <v>7</v>
      </c>
      <c r="C6" s="24">
        <f>+Retail!F4</f>
        <v>4.4648459511038678E-2</v>
      </c>
      <c r="D6" s="24">
        <f>+Retail!M4</f>
        <v>8.2179632496135718E-2</v>
      </c>
      <c r="E6" s="3">
        <v>80</v>
      </c>
      <c r="G6" s="29" cm="1">
        <f t="array" aca="1" ref="G6" ca="1">(PRODUCT(_xlfn._xlws.FILTER(INDIRECT("'" &amp; B6 &amp; "'!K7:K86") + 1, ISNUMBER(INDIRECT("'" &amp; B6 &amp; "'!K7:K86")))) ^ (1 / (COUNTA(INDIRECT("'" &amp; B6 &amp; "'!K7:K86")) / 4))) - 1</f>
        <v>5.5641768421451632E-2</v>
      </c>
    </row>
    <row r="7" spans="2:7" x14ac:dyDescent="0.25">
      <c r="B7" s="26" t="s">
        <v>8</v>
      </c>
      <c r="C7" s="24">
        <f>+Seniors!F4</f>
        <v>6.1521606320899945E-2</v>
      </c>
      <c r="D7" s="24">
        <f>+Seniors!M4</f>
        <v>7.9697376398971648E-2</v>
      </c>
      <c r="E7" s="3">
        <v>80</v>
      </c>
      <c r="G7" s="29" cm="1">
        <f t="array" aca="1" ref="G7" ca="1">(PRODUCT(_xlfn._xlws.FILTER(INDIRECT("'" &amp; B7 &amp; "'!K7:K86") + 1, ISNUMBER(INDIRECT("'" &amp; B7 &amp; "'!K7:K86")))) ^ (1 / (COUNTA(INDIRECT("'" &amp; B7 &amp; "'!K7:K86")) / 4))) - 1</f>
        <v>9.9732921750553816E-2</v>
      </c>
    </row>
    <row r="8" spans="2:7" x14ac:dyDescent="0.25">
      <c r="B8" s="26" t="s">
        <v>9</v>
      </c>
      <c r="C8" s="24">
        <f>+Storage!F4</f>
        <v>6.3757335699336226E-2</v>
      </c>
      <c r="D8" s="24">
        <f>+Storage!M4</f>
        <v>9.7438821599635822E-2</v>
      </c>
      <c r="E8" s="3">
        <v>78</v>
      </c>
      <c r="G8" s="29" cm="1">
        <f t="array" aca="1" ref="G8" ca="1">(PRODUCT(_xlfn._xlws.FILTER(INDIRECT("'" &amp; B8 &amp; "'!K7:K86") + 1, ISNUMBER(INDIRECT("'" &amp; B8 &amp; "'!K7:K86")))) ^ (1 / (COUNTA(INDIRECT("'" &amp; B8 &amp; "'!K7:K86")) / 4))) - 1</f>
        <v>0.11256441153853203</v>
      </c>
    </row>
    <row r="9" spans="2:7" x14ac:dyDescent="0.25">
      <c r="B9" s="26" t="s">
        <v>10</v>
      </c>
      <c r="C9" s="24">
        <f>+'Life Science'!F4</f>
        <v>8.4101628460895084E-2</v>
      </c>
      <c r="D9" s="24">
        <f>+'Life Science'!M4</f>
        <v>0.15417380228553659</v>
      </c>
      <c r="E9" s="3">
        <v>77</v>
      </c>
      <c r="G9" s="29" cm="1">
        <f t="array" aca="1" ref="G9" ca="1">(PRODUCT(_xlfn._xlws.FILTER(INDIRECT("'" &amp; B9 &amp; "'!K7:K86") + 1, ISNUMBER(INDIRECT("'" &amp; B9 &amp; "'!K7:K86")))) ^ (1 / (COUNTA(INDIRECT("'" &amp; B9 &amp; "'!K7:K86")) / 4))) - 1</f>
        <v>9.3403120447071553E-2</v>
      </c>
    </row>
    <row r="10" spans="2:7" x14ac:dyDescent="0.25">
      <c r="B10" s="26" t="s">
        <v>11</v>
      </c>
      <c r="C10" s="24">
        <f>+Hotel!F4</f>
        <v>7.8523532663667031E-2</v>
      </c>
      <c r="D10" s="24">
        <f>+Hotel!M4</f>
        <v>0.13237086002008167</v>
      </c>
      <c r="E10" s="3">
        <v>75</v>
      </c>
      <c r="G10" s="29" cm="1">
        <f t="array" aca="1" ref="G10" ca="1">(PRODUCT(_xlfn._xlws.FILTER(INDIRECT("'" &amp; B10 &amp; "'!K7:K86") + 1, ISNUMBER(INDIRECT("'" &amp; B10 &amp; "'!K7:K86")))) ^ (1 / (COUNTA(INDIRECT("'" &amp; B10 &amp; "'!K7:K86")) / 4))) - 1</f>
        <v>4.4260048702476462E-2</v>
      </c>
    </row>
    <row r="11" spans="2:7" x14ac:dyDescent="0.25">
      <c r="B11" s="26" t="s">
        <v>12</v>
      </c>
      <c r="C11" s="24">
        <f>+Student!F4</f>
        <v>4.9061735732070032E-2</v>
      </c>
      <c r="D11" s="24">
        <f>+Storage!M4</f>
        <v>9.7438821599635822E-2</v>
      </c>
      <c r="E11" s="3">
        <v>69</v>
      </c>
      <c r="G11" s="29" cm="1">
        <f t="array" aca="1" ref="G11" ca="1">(PRODUCT(_xlfn._xlws.FILTER(INDIRECT("'" &amp; B11 &amp; "'!K7:K86") + 1, ISNUMBER(INDIRECT("'" &amp; B11 &amp; "'!K7:K86")))) ^ (1 / (COUNTA(INDIRECT("'" &amp; B11 &amp; "'!K7:K86")) / 4))) - 1</f>
        <v>5.9025678401787962E-2</v>
      </c>
    </row>
    <row r="12" spans="2:7" x14ac:dyDescent="0.25">
      <c r="B12" s="26" t="s">
        <v>13</v>
      </c>
      <c r="C12" s="24">
        <f>+'Medical Office'!F4</f>
        <v>4.47493773723706E-2</v>
      </c>
      <c r="D12" s="24">
        <f>+'Medical Office'!M4</f>
        <v>8.9113231169838589E-2</v>
      </c>
      <c r="E12" s="3">
        <v>67</v>
      </c>
      <c r="G12" s="29" cm="1">
        <f t="array" aca="1" ref="G12" ca="1">(PRODUCT(_xlfn._xlws.FILTER(INDIRECT("'" &amp; B12 &amp; "'!K7:K86") + 1, ISNUMBER(INDIRECT("'" &amp; B12 &amp; "'!K7:K86")))) ^ (1 / (COUNTA(INDIRECT("'" &amp; B12 &amp; "'!K7:K86")) / 4))) - 1</f>
        <v>5.0263474003378716E-2</v>
      </c>
    </row>
    <row r="13" spans="2:7" x14ac:dyDescent="0.25">
      <c r="B13" s="26" t="s">
        <v>14</v>
      </c>
      <c r="C13" s="24">
        <f>+'Data Center'!F4</f>
        <v>3.9474835131962878E-2</v>
      </c>
      <c r="D13" s="24">
        <f>+'Data Center'!M4</f>
        <v>6.1603622146780813E-2</v>
      </c>
      <c r="E13" s="3">
        <v>23</v>
      </c>
      <c r="G13" s="29" cm="1">
        <f t="array" aca="1" ref="G13" ca="1">(PRODUCT(_xlfn._xlws.FILTER(INDIRECT("'" &amp; B13 &amp; "'!K7:K86") + 1, ISNUMBER(INDIRECT("'" &amp; B13 &amp; "'!K7:K86")))) ^ (1 / (COUNTA(INDIRECT("'" &amp; B13 &amp; "'!K7:K86")) / 4))) - 1</f>
        <v>9.7754625972805709E-2</v>
      </c>
    </row>
    <row r="14" spans="2:7" x14ac:dyDescent="0.25">
      <c r="B14" s="26" t="s">
        <v>15</v>
      </c>
      <c r="C14" s="24">
        <f>+SFR!F4</f>
        <v>0.10315874888989043</v>
      </c>
      <c r="D14" s="24">
        <f>+SFR!M4</f>
        <v>0.22680716413377808</v>
      </c>
      <c r="E14" s="3">
        <v>14</v>
      </c>
      <c r="G14" s="29" cm="1">
        <f t="array" aca="1" ref="G14" ca="1">(PRODUCT(_xlfn._xlws.FILTER(INDIRECT("'" &amp; B14 &amp; "'!K7:K86") + 1, ISNUMBER(INDIRECT("'" &amp; B14 &amp; "'!K7:K86")))) ^ (1 / (COUNTA(INDIRECT("'" &amp; B14 &amp; "'!K7:K86")) / 4))) - 1</f>
        <v>7.6541480864766642E-2</v>
      </c>
    </row>
    <row r="15" spans="2:7" x14ac:dyDescent="0.25">
      <c r="B15" s="26" t="s">
        <v>16</v>
      </c>
      <c r="C15" s="24">
        <f>+Manufactured!F4</f>
        <v>3.2507490978187947E-2</v>
      </c>
      <c r="D15" s="24">
        <f>+Manufactured!M4</f>
        <v>7.8458687205422706E-2</v>
      </c>
      <c r="E15" s="3">
        <v>12</v>
      </c>
      <c r="G15" s="29" cm="1">
        <f t="array" aca="1" ref="G15" ca="1">(PRODUCT(_xlfn._xlws.FILTER(INDIRECT("'" &amp; B15 &amp; "'!K7:K86") + 1, ISNUMBER(INDIRECT("'" &amp; B15 &amp; "'!K7:K86")))) ^ (1 / (COUNTA(INDIRECT("'" &amp; B15 &amp; "'!K7:K86")) / 4))) - 1</f>
        <v>9.0157904530545396E-2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4"/>
  <sheetViews>
    <sheetView workbookViewId="0">
      <selection sqref="A1:B1"/>
    </sheetView>
  </sheetViews>
  <sheetFormatPr defaultRowHeight="15" x14ac:dyDescent="0.25"/>
  <cols>
    <col min="1" max="4" width="12.7109375" customWidth="1"/>
    <col min="5" max="5" width="4.7109375" customWidth="1"/>
    <col min="6" max="7" width="12.7109375" customWidth="1"/>
    <col min="8" max="8" width="4.7109375" customWidth="1"/>
    <col min="9" max="11" width="12.7109375" customWidth="1"/>
    <col min="12" max="12" width="4.7109375" customWidth="1"/>
    <col min="13" max="14" width="12.7109375" customWidth="1"/>
  </cols>
  <sheetData>
    <row r="1" spans="1:14" x14ac:dyDescent="0.25">
      <c r="A1" s="41" t="s">
        <v>17</v>
      </c>
      <c r="B1" s="40"/>
      <c r="C1" s="15" t="s">
        <v>4</v>
      </c>
    </row>
    <row r="2" spans="1:14" x14ac:dyDescent="0.25">
      <c r="A2" s="39" t="s">
        <v>18</v>
      </c>
      <c r="B2" s="40"/>
      <c r="C2" s="18">
        <f>CORREL(C7:C86,C9:C88)</f>
        <v>0.60153739515526305</v>
      </c>
    </row>
    <row r="3" spans="1:14" x14ac:dyDescent="0.25">
      <c r="A3" s="16"/>
      <c r="B3" s="16"/>
      <c r="C3" s="17"/>
      <c r="F3" s="36" t="s">
        <v>1</v>
      </c>
      <c r="G3" s="35"/>
      <c r="M3" s="36" t="s">
        <v>19</v>
      </c>
      <c r="N3" s="35"/>
    </row>
    <row r="4" spans="1:14" x14ac:dyDescent="0.25">
      <c r="F4" s="37">
        <f t="array" ref="F4">+(STDEV(D7:D86+1)*SQRT(4))</f>
        <v>5.5844423131918099E-2</v>
      </c>
      <c r="G4" s="38"/>
      <c r="M4" s="37">
        <f t="array" ref="M4">+(STDEV(K7:K86+1)*SQRT(4))</f>
        <v>8.4048468251118058E-2</v>
      </c>
      <c r="N4" s="38"/>
    </row>
    <row r="5" spans="1:14" x14ac:dyDescent="0.25">
      <c r="B5" s="33" t="s">
        <v>20</v>
      </c>
      <c r="C5" s="34"/>
      <c r="D5" s="35"/>
      <c r="I5" s="33" t="s">
        <v>21</v>
      </c>
      <c r="J5" s="34"/>
      <c r="K5" s="35"/>
    </row>
    <row r="6" spans="1:14" x14ac:dyDescent="0.25">
      <c r="B6" s="12" t="s">
        <v>22</v>
      </c>
      <c r="C6" s="13" t="s">
        <v>23</v>
      </c>
      <c r="D6" s="14" t="s">
        <v>24</v>
      </c>
      <c r="I6" s="12" t="s">
        <v>22</v>
      </c>
      <c r="J6" s="13" t="s">
        <v>23</v>
      </c>
      <c r="K6" s="14" t="s">
        <v>24</v>
      </c>
      <c r="M6" s="29" cm="1">
        <f t="array" ref="M6">(PRODUCT(1 + K7:K86)^(1/20)) - 1</f>
        <v>6.5552443305275432E-2</v>
      </c>
    </row>
    <row r="7" spans="1:14" x14ac:dyDescent="0.25">
      <c r="A7" s="11">
        <v>20244</v>
      </c>
      <c r="B7" s="5">
        <v>1.09E-2</v>
      </c>
      <c r="C7" s="6">
        <v>6.9999999999999999E-4</v>
      </c>
      <c r="D7" s="7">
        <v>1.17E-2</v>
      </c>
      <c r="I7" s="5">
        <f t="shared" ref="I7:I38" si="0">+B7</f>
        <v>1.09E-2</v>
      </c>
      <c r="J7" s="6">
        <f t="shared" ref="J7:J38" si="1">(C7-($C$2*C8))/(1-$C$2)</f>
        <v>2.3606103725307441E-3</v>
      </c>
      <c r="K7" s="7">
        <f t="shared" ref="K7:K38" si="2">(1+I7)*(1+J7)-1</f>
        <v>1.3286341025591231E-2</v>
      </c>
    </row>
    <row r="8" spans="1:14" x14ac:dyDescent="0.25">
      <c r="A8" s="11">
        <v>20243</v>
      </c>
      <c r="B8" s="5">
        <v>1.11E-2</v>
      </c>
      <c r="C8" s="6">
        <v>-4.0000000000000002E-4</v>
      </c>
      <c r="D8" s="7">
        <v>1.0699999999999999E-2</v>
      </c>
      <c r="I8" s="5">
        <f t="shared" si="0"/>
        <v>1.11E-2</v>
      </c>
      <c r="J8" s="6">
        <f t="shared" si="1"/>
        <v>1.4847422511418653E-2</v>
      </c>
      <c r="K8" s="7">
        <f t="shared" si="2"/>
        <v>2.6112228901295387E-2</v>
      </c>
    </row>
    <row r="9" spans="1:14" x14ac:dyDescent="0.25">
      <c r="A9" s="11">
        <v>20242</v>
      </c>
      <c r="B9" s="5">
        <v>1.11E-2</v>
      </c>
      <c r="C9" s="6">
        <v>-1.0500000000000001E-2</v>
      </c>
      <c r="D9" s="7">
        <v>5.9999999999999995E-4</v>
      </c>
      <c r="I9" s="5">
        <f t="shared" si="0"/>
        <v>1.11E-2</v>
      </c>
      <c r="J9" s="6">
        <f t="shared" si="1"/>
        <v>5.2003162493815779E-3</v>
      </c>
      <c r="K9" s="7">
        <f t="shared" si="2"/>
        <v>1.635803975974981E-2</v>
      </c>
    </row>
    <row r="10" spans="1:14" x14ac:dyDescent="0.25">
      <c r="A10" s="11">
        <v>20241</v>
      </c>
      <c r="B10" s="5">
        <v>1.06E-2</v>
      </c>
      <c r="C10" s="6">
        <v>-2.0899999999999998E-2</v>
      </c>
      <c r="D10" s="7">
        <v>-1.03E-2</v>
      </c>
      <c r="I10" s="5">
        <f t="shared" si="0"/>
        <v>1.06E-2</v>
      </c>
      <c r="J10" s="6">
        <f t="shared" si="1"/>
        <v>1.0047738760800241E-2</v>
      </c>
      <c r="K10" s="7">
        <f t="shared" si="2"/>
        <v>2.0754244791664656E-2</v>
      </c>
    </row>
    <row r="11" spans="1:14" x14ac:dyDescent="0.25">
      <c r="A11" s="11">
        <v>20234</v>
      </c>
      <c r="B11" s="5">
        <v>1.04E-2</v>
      </c>
      <c r="C11" s="6">
        <v>-4.1399999999999999E-2</v>
      </c>
      <c r="D11" s="7">
        <v>-3.1E-2</v>
      </c>
      <c r="I11" s="5">
        <f t="shared" si="0"/>
        <v>1.04E-2</v>
      </c>
      <c r="J11" s="6">
        <f t="shared" si="1"/>
        <v>-6.6913013905245067E-2</v>
      </c>
      <c r="K11" s="7">
        <f t="shared" si="2"/>
        <v>-5.7208909249859663E-2</v>
      </c>
    </row>
    <row r="12" spans="1:14" x14ac:dyDescent="0.25">
      <c r="A12" s="11">
        <v>20233</v>
      </c>
      <c r="B12" s="5">
        <v>9.9000000000000008E-3</v>
      </c>
      <c r="C12" s="6">
        <v>-2.4500000000000001E-2</v>
      </c>
      <c r="D12" s="7">
        <v>-1.46E-2</v>
      </c>
      <c r="I12" s="5">
        <f t="shared" si="0"/>
        <v>9.9000000000000008E-3</v>
      </c>
      <c r="J12" s="6">
        <f t="shared" si="1"/>
        <v>-2.9934724855555168E-2</v>
      </c>
      <c r="K12" s="7">
        <f t="shared" si="2"/>
        <v>-2.0331078631625088E-2</v>
      </c>
    </row>
    <row r="13" spans="1:14" x14ac:dyDescent="0.25">
      <c r="A13" s="11">
        <v>20232</v>
      </c>
      <c r="B13" s="5">
        <v>9.7999999999999997E-3</v>
      </c>
      <c r="C13" s="6">
        <v>-2.0899999999999998E-2</v>
      </c>
      <c r="D13" s="7">
        <v>-1.11E-2</v>
      </c>
      <c r="I13" s="5">
        <f t="shared" si="0"/>
        <v>9.7999999999999997E-3</v>
      </c>
      <c r="J13" s="6">
        <f t="shared" si="1"/>
        <v>-5.9545066472232976E-3</v>
      </c>
      <c r="K13" s="7">
        <f t="shared" si="2"/>
        <v>3.7871391876338478E-3</v>
      </c>
    </row>
    <row r="14" spans="1:14" x14ac:dyDescent="0.25">
      <c r="A14" s="11">
        <v>20231</v>
      </c>
      <c r="B14" s="5">
        <v>9.4999999999999998E-3</v>
      </c>
      <c r="C14" s="6">
        <v>-3.0800000000000001E-2</v>
      </c>
      <c r="D14" s="7">
        <v>-2.1299999999999999E-2</v>
      </c>
      <c r="I14" s="5">
        <f t="shared" si="0"/>
        <v>9.4999999999999998E-3</v>
      </c>
      <c r="J14" s="6">
        <f t="shared" si="1"/>
        <v>-1.5854506647223304E-2</v>
      </c>
      <c r="K14" s="7">
        <f t="shared" si="2"/>
        <v>-6.5051244603718805E-3</v>
      </c>
    </row>
    <row r="15" spans="1:14" x14ac:dyDescent="0.25">
      <c r="A15" s="11">
        <v>20224</v>
      </c>
      <c r="B15" s="5">
        <v>9.1000000000000004E-3</v>
      </c>
      <c r="C15" s="6">
        <v>-4.07E-2</v>
      </c>
      <c r="D15" s="7">
        <v>-3.1600000000000003E-2</v>
      </c>
      <c r="I15" s="5">
        <f t="shared" si="0"/>
        <v>9.1000000000000004E-3</v>
      </c>
      <c r="J15" s="6">
        <f t="shared" si="1"/>
        <v>-0.10712441490122977</v>
      </c>
      <c r="K15" s="7">
        <f t="shared" si="2"/>
        <v>-9.8999247076830943E-2</v>
      </c>
    </row>
    <row r="16" spans="1:14" x14ac:dyDescent="0.25">
      <c r="A16" s="11">
        <v>20223</v>
      </c>
      <c r="B16" s="5">
        <v>8.9999999999999993E-3</v>
      </c>
      <c r="C16" s="6">
        <v>3.3E-3</v>
      </c>
      <c r="D16" s="7">
        <v>1.23E-2</v>
      </c>
      <c r="I16" s="5">
        <f t="shared" si="0"/>
        <v>8.9999999999999993E-3</v>
      </c>
      <c r="J16" s="6">
        <f t="shared" si="1"/>
        <v>-3.5648861464811998E-2</v>
      </c>
      <c r="K16" s="7">
        <f t="shared" si="2"/>
        <v>-2.6969701217995468E-2</v>
      </c>
    </row>
    <row r="17" spans="1:11" x14ac:dyDescent="0.25">
      <c r="A17" s="11">
        <v>20222</v>
      </c>
      <c r="B17" s="5">
        <v>9.1999999999999998E-3</v>
      </c>
      <c r="C17" s="6">
        <v>2.9100000000000001E-2</v>
      </c>
      <c r="D17" s="7">
        <v>3.8300000000000001E-2</v>
      </c>
      <c r="I17" s="5">
        <f t="shared" si="0"/>
        <v>9.1999999999999998E-3</v>
      </c>
      <c r="J17" s="6">
        <f t="shared" si="1"/>
        <v>7.9649588950632538E-3</v>
      </c>
      <c r="K17" s="7">
        <f t="shared" si="2"/>
        <v>1.7238236516897931E-2</v>
      </c>
    </row>
    <row r="18" spans="1:11" x14ac:dyDescent="0.25">
      <c r="A18" s="11">
        <v>20221</v>
      </c>
      <c r="B18" s="5">
        <v>9.2999999999999992E-3</v>
      </c>
      <c r="C18" s="6">
        <v>4.3099999999999999E-2</v>
      </c>
      <c r="D18" s="7">
        <v>5.2400000000000002E-2</v>
      </c>
      <c r="I18" s="5">
        <f t="shared" si="0"/>
        <v>9.2999999999999992E-3</v>
      </c>
      <c r="J18" s="6">
        <f t="shared" si="1"/>
        <v>1.8945667308643718E-2</v>
      </c>
      <c r="K18" s="7">
        <f t="shared" si="2"/>
        <v>2.8421862014614163E-2</v>
      </c>
    </row>
    <row r="19" spans="1:11" x14ac:dyDescent="0.25">
      <c r="A19" s="11">
        <v>20214</v>
      </c>
      <c r="B19" s="5">
        <v>9.7000000000000003E-3</v>
      </c>
      <c r="C19" s="6">
        <v>5.91E-2</v>
      </c>
      <c r="D19" s="7">
        <v>6.88E-2</v>
      </c>
      <c r="I19" s="5">
        <f t="shared" si="0"/>
        <v>9.7000000000000003E-3</v>
      </c>
      <c r="J19" s="6">
        <f t="shared" si="1"/>
        <v>6.3176043641666374E-2</v>
      </c>
      <c r="K19" s="7">
        <f t="shared" si="2"/>
        <v>7.3488851264990718E-2</v>
      </c>
    </row>
    <row r="20" spans="1:11" x14ac:dyDescent="0.25">
      <c r="A20" s="11">
        <v>20213</v>
      </c>
      <c r="B20" s="5">
        <v>9.4000000000000004E-3</v>
      </c>
      <c r="C20" s="6">
        <v>5.6399999999999999E-2</v>
      </c>
      <c r="D20" s="7">
        <v>6.5799999999999997E-2</v>
      </c>
      <c r="I20" s="5">
        <f t="shared" si="0"/>
        <v>9.4000000000000004E-3</v>
      </c>
      <c r="J20" s="6">
        <f t="shared" si="1"/>
        <v>0.10153840921697205</v>
      </c>
      <c r="K20" s="7">
        <f t="shared" si="2"/>
        <v>0.11189287026361172</v>
      </c>
    </row>
    <row r="21" spans="1:11" x14ac:dyDescent="0.25">
      <c r="A21" s="11">
        <v>20212</v>
      </c>
      <c r="B21" s="5">
        <v>9.2999999999999992E-3</v>
      </c>
      <c r="C21" s="6">
        <v>2.6499999999999999E-2</v>
      </c>
      <c r="D21" s="7">
        <v>3.5799999999999998E-2</v>
      </c>
      <c r="I21" s="5">
        <f t="shared" si="0"/>
        <v>9.2999999999999992E-3</v>
      </c>
      <c r="J21" s="6">
        <f t="shared" si="1"/>
        <v>5.4126518015738742E-2</v>
      </c>
      <c r="K21" s="7">
        <f t="shared" si="2"/>
        <v>6.3929894633285134E-2</v>
      </c>
    </row>
    <row r="22" spans="1:11" x14ac:dyDescent="0.25">
      <c r="A22" s="11">
        <v>20211</v>
      </c>
      <c r="B22" s="5">
        <v>8.9999999999999993E-3</v>
      </c>
      <c r="C22" s="6">
        <v>8.2000000000000007E-3</v>
      </c>
      <c r="D22" s="7">
        <v>1.72E-2</v>
      </c>
      <c r="I22" s="5">
        <f t="shared" si="0"/>
        <v>8.9999999999999993E-3</v>
      </c>
      <c r="J22" s="6">
        <f t="shared" si="1"/>
        <v>1.9220414290431306E-2</v>
      </c>
      <c r="K22" s="7">
        <f t="shared" si="2"/>
        <v>2.8393398019045168E-2</v>
      </c>
    </row>
    <row r="23" spans="1:11" x14ac:dyDescent="0.25">
      <c r="A23" s="11">
        <v>20204</v>
      </c>
      <c r="B23" s="5">
        <v>8.8000000000000005E-3</v>
      </c>
      <c r="C23" s="6">
        <v>8.9999999999999998E-4</v>
      </c>
      <c r="D23" s="7">
        <v>9.7000000000000003E-3</v>
      </c>
      <c r="I23" s="5">
        <f t="shared" si="0"/>
        <v>8.8000000000000005E-3</v>
      </c>
      <c r="J23" s="6">
        <f t="shared" si="1"/>
        <v>7.8443706487649305E-3</v>
      </c>
      <c r="K23" s="7">
        <f t="shared" si="2"/>
        <v>1.6713401110473924E-2</v>
      </c>
    </row>
    <row r="24" spans="1:11" x14ac:dyDescent="0.25">
      <c r="A24" s="11">
        <v>20203</v>
      </c>
      <c r="B24" s="5">
        <v>9.1999999999999998E-3</v>
      </c>
      <c r="C24" s="6">
        <v>-3.7000000000000002E-3</v>
      </c>
      <c r="D24" s="7">
        <v>5.5999999999999999E-3</v>
      </c>
      <c r="I24" s="5">
        <f t="shared" si="0"/>
        <v>9.1999999999999998E-3</v>
      </c>
      <c r="J24" s="6">
        <f t="shared" si="1"/>
        <v>1.5472501573764048E-2</v>
      </c>
      <c r="K24" s="7">
        <f t="shared" si="2"/>
        <v>2.4814848588242677E-2</v>
      </c>
    </row>
    <row r="25" spans="1:11" x14ac:dyDescent="0.25">
      <c r="A25" s="11">
        <v>20202</v>
      </c>
      <c r="B25" s="5">
        <v>1.01E-2</v>
      </c>
      <c r="C25" s="6">
        <v>-1.6400000000000001E-2</v>
      </c>
      <c r="D25" s="7">
        <v>-6.3E-3</v>
      </c>
      <c r="I25" s="5">
        <f t="shared" si="0"/>
        <v>1.01E-2</v>
      </c>
      <c r="J25" s="6">
        <f t="shared" si="1"/>
        <v>-3.949758063610944E-2</v>
      </c>
      <c r="K25" s="7">
        <f t="shared" si="2"/>
        <v>-2.979650620053409E-2</v>
      </c>
    </row>
    <row r="26" spans="1:11" x14ac:dyDescent="0.25">
      <c r="A26" s="11">
        <v>20201</v>
      </c>
      <c r="B26" s="5">
        <v>1.0500000000000001E-2</v>
      </c>
      <c r="C26" s="6">
        <v>-1.1000000000000001E-3</v>
      </c>
      <c r="D26" s="7">
        <v>9.4000000000000004E-3</v>
      </c>
      <c r="I26" s="5">
        <f t="shared" si="0"/>
        <v>1.0500000000000001E-2</v>
      </c>
      <c r="J26" s="6">
        <f t="shared" si="1"/>
        <v>-8.4972643867278607E-3</v>
      </c>
      <c r="K26" s="7">
        <f t="shared" si="2"/>
        <v>1.9135143372115415E-3</v>
      </c>
    </row>
    <row r="27" spans="1:11" x14ac:dyDescent="0.25">
      <c r="A27" s="11">
        <v>20194</v>
      </c>
      <c r="B27" s="5">
        <v>1.06E-2</v>
      </c>
      <c r="C27" s="6">
        <v>3.8E-3</v>
      </c>
      <c r="D27" s="7">
        <v>1.44E-2</v>
      </c>
      <c r="I27" s="5">
        <f t="shared" si="0"/>
        <v>1.06E-2</v>
      </c>
      <c r="J27" s="6">
        <f t="shared" si="1"/>
        <v>7.8760436416663721E-3</v>
      </c>
      <c r="K27" s="7">
        <f t="shared" si="2"/>
        <v>1.8559529704267774E-2</v>
      </c>
    </row>
    <row r="28" spans="1:11" x14ac:dyDescent="0.25">
      <c r="A28" s="11">
        <v>20193</v>
      </c>
      <c r="B28" s="5">
        <v>1.0500000000000001E-2</v>
      </c>
      <c r="C28" s="6">
        <v>1.1000000000000001E-3</v>
      </c>
      <c r="D28" s="7">
        <v>1.1599999999999999E-2</v>
      </c>
      <c r="I28" s="5">
        <f t="shared" si="0"/>
        <v>1.0500000000000001E-2</v>
      </c>
      <c r="J28" s="6">
        <f t="shared" si="1"/>
        <v>-2.3721853243824646E-3</v>
      </c>
      <c r="K28" s="7">
        <f t="shared" si="2"/>
        <v>8.1029067297115898E-3</v>
      </c>
    </row>
    <row r="29" spans="1:11" x14ac:dyDescent="0.25">
      <c r="A29" s="11">
        <v>20192</v>
      </c>
      <c r="B29" s="5">
        <v>1.0699999999999999E-2</v>
      </c>
      <c r="C29" s="6">
        <v>3.3999999999999998E-3</v>
      </c>
      <c r="D29" s="7">
        <v>1.4E-2</v>
      </c>
      <c r="I29" s="5">
        <f t="shared" si="0"/>
        <v>1.0699999999999999E-2</v>
      </c>
      <c r="J29" s="6">
        <f t="shared" si="1"/>
        <v>4.4567520552468371E-3</v>
      </c>
      <c r="K29" s="7">
        <f t="shared" si="2"/>
        <v>1.5204439302237915E-2</v>
      </c>
    </row>
    <row r="30" spans="1:11" x14ac:dyDescent="0.25">
      <c r="A30" s="11">
        <v>20191</v>
      </c>
      <c r="B30" s="5">
        <v>1.0500000000000001E-2</v>
      </c>
      <c r="C30" s="6">
        <v>2.7000000000000001E-3</v>
      </c>
      <c r="D30" s="7">
        <v>1.32E-2</v>
      </c>
      <c r="I30" s="5">
        <f t="shared" si="0"/>
        <v>1.0500000000000001E-2</v>
      </c>
      <c r="J30" s="6">
        <f t="shared" si="1"/>
        <v>3.0019291586419537E-3</v>
      </c>
      <c r="K30" s="7">
        <f t="shared" si="2"/>
        <v>1.353344941480783E-2</v>
      </c>
    </row>
    <row r="31" spans="1:11" x14ac:dyDescent="0.25">
      <c r="A31" s="11">
        <v>20184</v>
      </c>
      <c r="B31" s="5">
        <v>1.0500000000000001E-2</v>
      </c>
      <c r="C31" s="6">
        <v>2.5000000000000001E-3</v>
      </c>
      <c r="D31" s="7">
        <v>1.2999999999999999E-2</v>
      </c>
      <c r="I31" s="5">
        <f t="shared" si="0"/>
        <v>1.0500000000000001E-2</v>
      </c>
      <c r="J31" s="6">
        <f t="shared" si="1"/>
        <v>-1.2741144830244193E-3</v>
      </c>
      <c r="K31" s="7">
        <f t="shared" si="2"/>
        <v>9.2125073149038617E-3</v>
      </c>
    </row>
    <row r="32" spans="1:11" x14ac:dyDescent="0.25">
      <c r="A32" s="11">
        <v>20183</v>
      </c>
      <c r="B32" s="5">
        <v>1.0500000000000001E-2</v>
      </c>
      <c r="C32" s="6">
        <v>5.0000000000000001E-3</v>
      </c>
      <c r="D32" s="7">
        <v>1.55E-2</v>
      </c>
      <c r="I32" s="5">
        <f t="shared" si="0"/>
        <v>1.0500000000000001E-2</v>
      </c>
      <c r="J32" s="6">
        <f t="shared" si="1"/>
        <v>5.9057874759258595E-3</v>
      </c>
      <c r="K32" s="7">
        <f t="shared" si="2"/>
        <v>1.6467798244423015E-2</v>
      </c>
    </row>
    <row r="33" spans="1:11" x14ac:dyDescent="0.25">
      <c r="A33" s="11">
        <v>20182</v>
      </c>
      <c r="B33" s="5">
        <v>1.0800000000000001E-2</v>
      </c>
      <c r="C33" s="6">
        <v>4.4000000000000003E-3</v>
      </c>
      <c r="D33" s="7">
        <v>1.52E-2</v>
      </c>
      <c r="I33" s="5">
        <f t="shared" si="0"/>
        <v>1.0800000000000001E-2</v>
      </c>
      <c r="J33" s="6">
        <f t="shared" si="1"/>
        <v>5.3057874759258614E-3</v>
      </c>
      <c r="K33" s="7">
        <f t="shared" si="2"/>
        <v>1.6163089980665735E-2</v>
      </c>
    </row>
    <row r="34" spans="1:11" x14ac:dyDescent="0.25">
      <c r="A34" s="11">
        <v>20181</v>
      </c>
      <c r="B34" s="5">
        <v>1.0699999999999999E-2</v>
      </c>
      <c r="C34" s="6">
        <v>3.8E-3</v>
      </c>
      <c r="D34" s="7">
        <v>1.4500000000000001E-2</v>
      </c>
      <c r="I34" s="5">
        <f t="shared" si="0"/>
        <v>1.0699999999999999E-2</v>
      </c>
      <c r="J34" s="6">
        <f t="shared" si="1"/>
        <v>1.8374604688273014E-3</v>
      </c>
      <c r="K34" s="7">
        <f t="shared" si="2"/>
        <v>1.2557121295843743E-2</v>
      </c>
    </row>
    <row r="35" spans="1:11" x14ac:dyDescent="0.25">
      <c r="A35" s="11">
        <v>20174</v>
      </c>
      <c r="B35" s="5">
        <v>1.0699999999999999E-2</v>
      </c>
      <c r="C35" s="6">
        <v>5.1000000000000004E-3</v>
      </c>
      <c r="D35" s="7">
        <v>1.5800000000000002E-2</v>
      </c>
      <c r="I35" s="5">
        <f t="shared" si="0"/>
        <v>1.0699999999999999E-2</v>
      </c>
      <c r="J35" s="6">
        <f t="shared" si="1"/>
        <v>3.4393896274692564E-3</v>
      </c>
      <c r="K35" s="7">
        <f t="shared" si="2"/>
        <v>1.4176191096483048E-2</v>
      </c>
    </row>
    <row r="36" spans="1:11" x14ac:dyDescent="0.25">
      <c r="A36" s="11">
        <v>20173</v>
      </c>
      <c r="B36" s="5">
        <v>1.0800000000000001E-2</v>
      </c>
      <c r="C36" s="6">
        <v>6.1999999999999998E-3</v>
      </c>
      <c r="D36" s="7">
        <v>1.7000000000000001E-2</v>
      </c>
      <c r="I36" s="5">
        <f t="shared" si="0"/>
        <v>1.0800000000000001E-2</v>
      </c>
      <c r="J36" s="6">
        <f t="shared" si="1"/>
        <v>1.0125079062345397E-2</v>
      </c>
      <c r="K36" s="7">
        <f t="shared" si="2"/>
        <v>2.1034429916218844E-2</v>
      </c>
    </row>
    <row r="37" spans="1:11" x14ac:dyDescent="0.25">
      <c r="A37" s="11">
        <v>20172</v>
      </c>
      <c r="B37" s="5">
        <v>1.11E-2</v>
      </c>
      <c r="C37" s="6">
        <v>3.5999999999999999E-3</v>
      </c>
      <c r="D37" s="7">
        <v>1.46E-2</v>
      </c>
      <c r="I37" s="5">
        <f t="shared" si="0"/>
        <v>1.11E-2</v>
      </c>
      <c r="J37" s="6">
        <f t="shared" si="1"/>
        <v>6.4683270070985581E-3</v>
      </c>
      <c r="K37" s="7">
        <f t="shared" si="2"/>
        <v>1.7640125436877652E-2</v>
      </c>
    </row>
    <row r="38" spans="1:11" x14ac:dyDescent="0.25">
      <c r="A38" s="11">
        <v>20171</v>
      </c>
      <c r="B38" s="5">
        <v>1.0999999999999999E-2</v>
      </c>
      <c r="C38" s="6">
        <v>1.6999999999999999E-3</v>
      </c>
      <c r="D38" s="7">
        <v>1.2699999999999999E-2</v>
      </c>
      <c r="I38" s="5">
        <f t="shared" si="0"/>
        <v>1.0999999999999999E-2</v>
      </c>
      <c r="J38" s="6">
        <f t="shared" si="1"/>
        <v>-4.0366540141971163E-3</v>
      </c>
      <c r="K38" s="7">
        <f t="shared" si="2"/>
        <v>6.9189427916465096E-3</v>
      </c>
    </row>
    <row r="39" spans="1:11" x14ac:dyDescent="0.25">
      <c r="A39" s="11">
        <v>20164</v>
      </c>
      <c r="B39" s="5">
        <v>1.11E-2</v>
      </c>
      <c r="C39" s="6">
        <v>5.4999999999999997E-3</v>
      </c>
      <c r="D39" s="7">
        <v>1.66E-2</v>
      </c>
      <c r="I39" s="5">
        <f t="shared" ref="I39:I70" si="3">+B39</f>
        <v>1.11E-2</v>
      </c>
      <c r="J39" s="6">
        <f t="shared" ref="J39:J70" si="4">(C39-($C$2*C40))/(1-$C$2)</f>
        <v>5.1980708413580448E-3</v>
      </c>
      <c r="K39" s="7">
        <f t="shared" ref="K39:K70" si="5">(1+I39)*(1+J39)-1</f>
        <v>1.6355769427697231E-2</v>
      </c>
    </row>
    <row r="40" spans="1:11" x14ac:dyDescent="0.25">
      <c r="A40" s="11">
        <v>20163</v>
      </c>
      <c r="B40" s="5">
        <v>1.1299999999999999E-2</v>
      </c>
      <c r="C40" s="6">
        <v>5.7000000000000002E-3</v>
      </c>
      <c r="D40" s="7">
        <v>1.7000000000000001E-2</v>
      </c>
      <c r="I40" s="5">
        <f t="shared" si="3"/>
        <v>1.1299999999999999E-2</v>
      </c>
      <c r="J40" s="6">
        <f t="shared" si="4"/>
        <v>3.133602151543396E-3</v>
      </c>
      <c r="K40" s="7">
        <f t="shared" si="5"/>
        <v>1.4469011855855918E-2</v>
      </c>
    </row>
    <row r="41" spans="1:11" x14ac:dyDescent="0.25">
      <c r="A41" s="11">
        <v>20162</v>
      </c>
      <c r="B41" s="5">
        <v>1.15E-2</v>
      </c>
      <c r="C41" s="6">
        <v>7.4000000000000003E-3</v>
      </c>
      <c r="D41" s="7">
        <v>1.89E-2</v>
      </c>
      <c r="I41" s="5">
        <f t="shared" si="3"/>
        <v>1.15E-2</v>
      </c>
      <c r="J41" s="6">
        <f t="shared" si="4"/>
        <v>7.85289373796293E-3</v>
      </c>
      <c r="K41" s="7">
        <f t="shared" si="5"/>
        <v>1.9443202015949623E-2</v>
      </c>
    </row>
    <row r="42" spans="1:11" x14ac:dyDescent="0.25">
      <c r="A42" s="11">
        <v>20161</v>
      </c>
      <c r="B42" s="5">
        <v>1.14E-2</v>
      </c>
      <c r="C42" s="6">
        <v>7.1000000000000004E-3</v>
      </c>
      <c r="D42" s="7">
        <v>1.8499999999999999E-2</v>
      </c>
      <c r="I42" s="5">
        <f t="shared" si="3"/>
        <v>1.14E-2</v>
      </c>
      <c r="J42" s="6">
        <f t="shared" si="4"/>
        <v>-5.5810246629620442E-3</v>
      </c>
      <c r="K42" s="7">
        <f t="shared" si="5"/>
        <v>5.7553516558801476E-3</v>
      </c>
    </row>
    <row r="43" spans="1:11" x14ac:dyDescent="0.25">
      <c r="A43" s="11">
        <v>20154</v>
      </c>
      <c r="B43" s="5">
        <v>1.15E-2</v>
      </c>
      <c r="C43" s="6">
        <v>1.55E-2</v>
      </c>
      <c r="D43" s="7">
        <v>2.7E-2</v>
      </c>
      <c r="I43" s="5">
        <f t="shared" si="3"/>
        <v>1.15E-2</v>
      </c>
      <c r="J43" s="6">
        <f t="shared" si="4"/>
        <v>1.3688425048148279E-2</v>
      </c>
      <c r="K43" s="7">
        <f t="shared" si="5"/>
        <v>2.534584193620204E-2</v>
      </c>
    </row>
    <row r="44" spans="1:11" x14ac:dyDescent="0.25">
      <c r="A44" s="11">
        <v>20153</v>
      </c>
      <c r="B44" s="5">
        <v>1.17E-2</v>
      </c>
      <c r="C44" s="6">
        <v>1.67E-2</v>
      </c>
      <c r="D44" s="7">
        <v>2.8400000000000002E-2</v>
      </c>
      <c r="I44" s="5">
        <f t="shared" si="3"/>
        <v>1.17E-2</v>
      </c>
      <c r="J44" s="6">
        <f t="shared" si="4"/>
        <v>1.5341318786111205E-2</v>
      </c>
      <c r="K44" s="7">
        <f t="shared" si="5"/>
        <v>2.7220812215908552E-2</v>
      </c>
    </row>
    <row r="45" spans="1:11" x14ac:dyDescent="0.25">
      <c r="A45" s="11">
        <v>20152</v>
      </c>
      <c r="B45" s="5">
        <v>1.18E-2</v>
      </c>
      <c r="C45" s="6">
        <v>1.7600000000000001E-2</v>
      </c>
      <c r="D45" s="7">
        <v>2.9399999999999999E-2</v>
      </c>
      <c r="I45" s="5">
        <f t="shared" si="3"/>
        <v>1.18E-2</v>
      </c>
      <c r="J45" s="6">
        <f t="shared" si="4"/>
        <v>1.8656752055246844E-2</v>
      </c>
      <c r="K45" s="7">
        <f t="shared" si="5"/>
        <v>3.0676901729498773E-2</v>
      </c>
    </row>
    <row r="46" spans="1:11" x14ac:dyDescent="0.25">
      <c r="A46" s="11">
        <v>20151</v>
      </c>
      <c r="B46" s="5">
        <v>1.18E-2</v>
      </c>
      <c r="C46" s="6">
        <v>1.6899999999999998E-2</v>
      </c>
      <c r="D46" s="7">
        <v>2.87E-2</v>
      </c>
      <c r="I46" s="5">
        <f t="shared" si="3"/>
        <v>1.18E-2</v>
      </c>
      <c r="J46" s="6">
        <f t="shared" si="4"/>
        <v>1.9013504110493674E-2</v>
      </c>
      <c r="K46" s="7">
        <f t="shared" si="5"/>
        <v>3.1037863458997617E-2</v>
      </c>
    </row>
    <row r="47" spans="1:11" x14ac:dyDescent="0.25">
      <c r="A47" s="11">
        <v>20144</v>
      </c>
      <c r="B47" s="5">
        <v>1.2E-2</v>
      </c>
      <c r="C47" s="6">
        <v>1.55E-2</v>
      </c>
      <c r="D47" s="7">
        <v>2.75E-2</v>
      </c>
      <c r="I47" s="5">
        <f t="shared" si="3"/>
        <v>1.2E-2</v>
      </c>
      <c r="J47" s="6">
        <f t="shared" si="4"/>
        <v>2.0330866538271253E-2</v>
      </c>
      <c r="K47" s="7">
        <f t="shared" si="5"/>
        <v>3.2574836936730689E-2</v>
      </c>
    </row>
    <row r="48" spans="1:11" x14ac:dyDescent="0.25">
      <c r="A48" s="11">
        <v>20143</v>
      </c>
      <c r="B48" s="5">
        <v>1.23E-2</v>
      </c>
      <c r="C48" s="6">
        <v>1.23E-2</v>
      </c>
      <c r="D48" s="7">
        <v>2.46E-2</v>
      </c>
      <c r="I48" s="5">
        <f t="shared" si="3"/>
        <v>1.23E-2</v>
      </c>
      <c r="J48" s="6">
        <f t="shared" si="4"/>
        <v>1.320578747592586E-2</v>
      </c>
      <c r="K48" s="7">
        <f t="shared" si="5"/>
        <v>2.5668218661879738E-2</v>
      </c>
    </row>
    <row r="49" spans="1:11" x14ac:dyDescent="0.25">
      <c r="A49" s="11">
        <v>20142</v>
      </c>
      <c r="B49" s="5">
        <v>1.24E-2</v>
      </c>
      <c r="C49" s="6">
        <v>1.17E-2</v>
      </c>
      <c r="D49" s="7">
        <v>2.41E-2</v>
      </c>
      <c r="I49" s="5">
        <f t="shared" si="3"/>
        <v>1.24E-2</v>
      </c>
      <c r="J49" s="6">
        <f t="shared" si="4"/>
        <v>1.4719291586419535E-2</v>
      </c>
      <c r="K49" s="7">
        <f t="shared" si="5"/>
        <v>2.7301810802091264E-2</v>
      </c>
    </row>
    <row r="50" spans="1:11" x14ac:dyDescent="0.25">
      <c r="A50" s="11">
        <v>20141</v>
      </c>
      <c r="B50" s="5">
        <v>1.2200000000000001E-2</v>
      </c>
      <c r="C50" s="6">
        <v>9.7000000000000003E-3</v>
      </c>
      <c r="D50" s="7">
        <v>2.1899999999999999E-2</v>
      </c>
      <c r="I50" s="5">
        <f t="shared" si="3"/>
        <v>1.2200000000000001E-2</v>
      </c>
      <c r="J50" s="6">
        <f t="shared" si="4"/>
        <v>7.2845667308643744E-3</v>
      </c>
      <c r="K50" s="7">
        <f t="shared" si="5"/>
        <v>1.9573438444980829E-2</v>
      </c>
    </row>
    <row r="51" spans="1:11" x14ac:dyDescent="0.25">
      <c r="A51" s="11">
        <v>20134</v>
      </c>
      <c r="B51" s="5">
        <v>1.23E-2</v>
      </c>
      <c r="C51" s="6">
        <v>1.1299999999999999E-2</v>
      </c>
      <c r="D51" s="7">
        <v>2.3599999999999999E-2</v>
      </c>
      <c r="I51" s="5">
        <f t="shared" si="3"/>
        <v>1.23E-2</v>
      </c>
      <c r="J51" s="6">
        <f t="shared" si="4"/>
        <v>1.1149035420679021E-2</v>
      </c>
      <c r="K51" s="7">
        <f t="shared" si="5"/>
        <v>2.3586168556353204E-2</v>
      </c>
    </row>
    <row r="52" spans="1:11" x14ac:dyDescent="0.25">
      <c r="A52" s="11">
        <v>20133</v>
      </c>
      <c r="B52" s="5">
        <v>1.26E-2</v>
      </c>
      <c r="C52" s="6">
        <v>1.14E-2</v>
      </c>
      <c r="D52" s="7">
        <v>2.4E-2</v>
      </c>
      <c r="I52" s="5">
        <f t="shared" si="3"/>
        <v>1.26E-2</v>
      </c>
      <c r="J52" s="6">
        <f t="shared" si="4"/>
        <v>1.0796141682716094E-2</v>
      </c>
      <c r="K52" s="7">
        <f t="shared" si="5"/>
        <v>2.3532173067918105E-2</v>
      </c>
    </row>
    <row r="53" spans="1:11" x14ac:dyDescent="0.25">
      <c r="A53" s="11">
        <v>20132</v>
      </c>
      <c r="B53" s="5">
        <v>1.29E-2</v>
      </c>
      <c r="C53" s="6">
        <v>1.18E-2</v>
      </c>
      <c r="D53" s="7">
        <v>2.47E-2</v>
      </c>
      <c r="I53" s="5">
        <f t="shared" si="3"/>
        <v>1.29E-2</v>
      </c>
      <c r="J53" s="6">
        <f t="shared" si="4"/>
        <v>1.0441318786111211E-2</v>
      </c>
      <c r="K53" s="7">
        <f t="shared" si="5"/>
        <v>2.3476011798452046E-2</v>
      </c>
    </row>
    <row r="54" spans="1:11" x14ac:dyDescent="0.25">
      <c r="A54" s="11">
        <v>20131</v>
      </c>
      <c r="B54" s="5">
        <v>1.3100000000000001E-2</v>
      </c>
      <c r="C54" s="6">
        <v>1.2699999999999999E-2</v>
      </c>
      <c r="D54" s="7">
        <v>2.58E-2</v>
      </c>
      <c r="I54" s="5">
        <f t="shared" si="3"/>
        <v>1.3100000000000001E-2</v>
      </c>
      <c r="J54" s="6">
        <f t="shared" si="4"/>
        <v>9.3787792549385081E-3</v>
      </c>
      <c r="K54" s="7">
        <f t="shared" si="5"/>
        <v>2.2601641263178207E-2</v>
      </c>
    </row>
    <row r="55" spans="1:11" x14ac:dyDescent="0.25">
      <c r="A55" s="11">
        <v>20124</v>
      </c>
      <c r="B55" s="5">
        <v>1.3100000000000001E-2</v>
      </c>
      <c r="C55" s="6">
        <v>1.49E-2</v>
      </c>
      <c r="D55" s="7">
        <v>2.81E-2</v>
      </c>
      <c r="I55" s="5">
        <f t="shared" si="3"/>
        <v>1.3100000000000001E-2</v>
      </c>
      <c r="J55" s="6">
        <f t="shared" si="4"/>
        <v>2.093858317283907E-2</v>
      </c>
      <c r="K55" s="7">
        <f t="shared" si="5"/>
        <v>3.4312878612403397E-2</v>
      </c>
    </row>
    <row r="56" spans="1:11" x14ac:dyDescent="0.25">
      <c r="A56" s="11">
        <v>20123</v>
      </c>
      <c r="B56" s="5">
        <v>1.32E-2</v>
      </c>
      <c r="C56" s="6">
        <v>1.09E-2</v>
      </c>
      <c r="D56" s="7">
        <v>2.41E-2</v>
      </c>
      <c r="I56" s="5">
        <f t="shared" si="3"/>
        <v>1.32E-2</v>
      </c>
      <c r="J56" s="6">
        <f t="shared" si="4"/>
        <v>5.7672043030867898E-3</v>
      </c>
      <c r="K56" s="7">
        <f t="shared" si="5"/>
        <v>1.9043331399887675E-2</v>
      </c>
    </row>
    <row r="57" spans="1:11" x14ac:dyDescent="0.25">
      <c r="A57" s="11">
        <v>20122</v>
      </c>
      <c r="B57" s="5">
        <v>1.32E-2</v>
      </c>
      <c r="C57" s="6">
        <v>1.43E-2</v>
      </c>
      <c r="D57" s="7">
        <v>2.76E-2</v>
      </c>
      <c r="I57" s="5">
        <f t="shared" si="3"/>
        <v>1.32E-2</v>
      </c>
      <c r="J57" s="6">
        <f t="shared" si="4"/>
        <v>1.3243247944753164E-2</v>
      </c>
      <c r="K57" s="7">
        <f t="shared" si="5"/>
        <v>2.6618058817623913E-2</v>
      </c>
    </row>
    <row r="58" spans="1:11" x14ac:dyDescent="0.25">
      <c r="A58" s="11">
        <v>20121</v>
      </c>
      <c r="B58" s="5">
        <v>1.3100000000000001E-2</v>
      </c>
      <c r="C58" s="6">
        <v>1.4999999999999999E-2</v>
      </c>
      <c r="D58" s="7">
        <v>2.81E-2</v>
      </c>
      <c r="I58" s="5">
        <f t="shared" si="3"/>
        <v>1.3100000000000001E-2</v>
      </c>
      <c r="J58" s="6">
        <f t="shared" si="4"/>
        <v>5.0363377648155331E-3</v>
      </c>
      <c r="K58" s="7">
        <f t="shared" si="5"/>
        <v>1.820231378953463E-2</v>
      </c>
    </row>
    <row r="59" spans="1:11" x14ac:dyDescent="0.25">
      <c r="A59" s="11">
        <v>20114</v>
      </c>
      <c r="B59" s="5">
        <v>1.34E-2</v>
      </c>
      <c r="C59" s="6">
        <v>2.1600000000000001E-2</v>
      </c>
      <c r="D59" s="7">
        <v>3.49E-2</v>
      </c>
      <c r="I59" s="5">
        <f t="shared" si="3"/>
        <v>1.34E-2</v>
      </c>
      <c r="J59" s="6">
        <f t="shared" si="4"/>
        <v>1.9637460468827306E-2</v>
      </c>
      <c r="K59" s="7">
        <f t="shared" si="5"/>
        <v>3.3300602439109817E-2</v>
      </c>
    </row>
    <row r="60" spans="1:11" x14ac:dyDescent="0.25">
      <c r="A60" s="11">
        <v>20113</v>
      </c>
      <c r="B60" s="5">
        <v>1.3299999999999999E-2</v>
      </c>
      <c r="C60" s="6">
        <v>2.29E-2</v>
      </c>
      <c r="D60" s="7">
        <v>3.6299999999999999E-2</v>
      </c>
      <c r="I60" s="5">
        <f t="shared" si="3"/>
        <v>1.3299999999999999E-2</v>
      </c>
      <c r="J60" s="6">
        <f t="shared" si="4"/>
        <v>1.4747912716667257E-2</v>
      </c>
      <c r="K60" s="7">
        <f t="shared" si="5"/>
        <v>2.8244059955798928E-2</v>
      </c>
    </row>
    <row r="61" spans="1:11" x14ac:dyDescent="0.25">
      <c r="A61" s="11">
        <v>20112</v>
      </c>
      <c r="B61" s="5">
        <v>1.37E-2</v>
      </c>
      <c r="C61" s="6">
        <v>2.8299999999999999E-2</v>
      </c>
      <c r="D61" s="7">
        <v>4.19E-2</v>
      </c>
      <c r="I61" s="5">
        <f t="shared" si="3"/>
        <v>1.37E-2</v>
      </c>
      <c r="J61" s="6">
        <f t="shared" si="4"/>
        <v>4.0981024662962051E-2</v>
      </c>
      <c r="K61" s="7">
        <f t="shared" si="5"/>
        <v>5.5242464700844707E-2</v>
      </c>
    </row>
    <row r="62" spans="1:11" x14ac:dyDescent="0.25">
      <c r="A62" s="11">
        <v>20111</v>
      </c>
      <c r="B62" s="5">
        <v>1.35E-2</v>
      </c>
      <c r="C62" s="6">
        <v>1.9900000000000001E-2</v>
      </c>
      <c r="D62" s="7">
        <v>3.3399999999999999E-2</v>
      </c>
      <c r="I62" s="5">
        <f t="shared" si="3"/>
        <v>1.35E-2</v>
      </c>
      <c r="J62" s="6">
        <f t="shared" si="4"/>
        <v>-2.4483586320367162E-2</v>
      </c>
      <c r="K62" s="7">
        <f t="shared" si="5"/>
        <v>-1.1314114735692105E-2</v>
      </c>
    </row>
    <row r="63" spans="1:11" x14ac:dyDescent="0.25">
      <c r="A63" s="11">
        <v>20104</v>
      </c>
      <c r="B63" s="5">
        <v>1.43E-2</v>
      </c>
      <c r="C63" s="6">
        <v>4.9299999999999997E-2</v>
      </c>
      <c r="D63" s="7">
        <v>6.3600000000000004E-2</v>
      </c>
      <c r="I63" s="5">
        <f t="shared" si="3"/>
        <v>1.43E-2</v>
      </c>
      <c r="J63" s="6">
        <f t="shared" si="4"/>
        <v>5.473472485555516E-2</v>
      </c>
      <c r="K63" s="7">
        <f t="shared" si="5"/>
        <v>6.9817431420989617E-2</v>
      </c>
    </row>
    <row r="64" spans="1:11" x14ac:dyDescent="0.25">
      <c r="A64" s="11">
        <v>20103</v>
      </c>
      <c r="B64" s="5">
        <v>1.44E-2</v>
      </c>
      <c r="C64" s="6">
        <v>4.5699999999999998E-2</v>
      </c>
      <c r="D64" s="7">
        <v>6.0100000000000001E-2</v>
      </c>
      <c r="I64" s="5">
        <f t="shared" si="3"/>
        <v>1.44E-2</v>
      </c>
      <c r="J64" s="6">
        <f t="shared" si="4"/>
        <v>6.9703368112035299E-2</v>
      </c>
      <c r="K64" s="7">
        <f t="shared" si="5"/>
        <v>8.5107096612848654E-2</v>
      </c>
    </row>
    <row r="65" spans="1:11" x14ac:dyDescent="0.25">
      <c r="A65" s="11">
        <v>20102</v>
      </c>
      <c r="B65" s="5">
        <v>1.5100000000000001E-2</v>
      </c>
      <c r="C65" s="6">
        <v>2.98E-2</v>
      </c>
      <c r="D65" s="7">
        <v>4.4900000000000002E-2</v>
      </c>
      <c r="I65" s="5">
        <f t="shared" si="3"/>
        <v>1.5100000000000001E-2</v>
      </c>
      <c r="J65" s="6">
        <f t="shared" si="4"/>
        <v>9.1393548362958515E-2</v>
      </c>
      <c r="K65" s="7">
        <f t="shared" si="5"/>
        <v>0.1078735909432389</v>
      </c>
    </row>
    <row r="66" spans="1:11" x14ac:dyDescent="0.25">
      <c r="A66" s="11">
        <v>20101</v>
      </c>
      <c r="B66" s="5">
        <v>1.4500000000000001E-2</v>
      </c>
      <c r="C66" s="6">
        <v>-1.0999999999999999E-2</v>
      </c>
      <c r="D66" s="7">
        <v>3.5000000000000001E-3</v>
      </c>
      <c r="I66" s="5">
        <f t="shared" si="3"/>
        <v>1.4500000000000001E-2</v>
      </c>
      <c r="J66" s="6">
        <f t="shared" si="4"/>
        <v>1.9494845022837305E-2</v>
      </c>
      <c r="K66" s="7">
        <f t="shared" si="5"/>
        <v>3.4277520275668438E-2</v>
      </c>
    </row>
    <row r="67" spans="1:11" x14ac:dyDescent="0.25">
      <c r="A67" s="11">
        <v>20094</v>
      </c>
      <c r="B67" s="5">
        <v>1.4E-2</v>
      </c>
      <c r="C67" s="6">
        <v>-3.1199999999999999E-2</v>
      </c>
      <c r="D67" s="7">
        <v>-1.72E-2</v>
      </c>
      <c r="I67" s="5">
        <f t="shared" si="3"/>
        <v>1.4E-2</v>
      </c>
      <c r="J67" s="6">
        <f t="shared" si="4"/>
        <v>-1.0668817212347156E-2</v>
      </c>
      <c r="K67" s="7">
        <f t="shared" si="5"/>
        <v>3.1818193466799372E-3</v>
      </c>
    </row>
    <row r="68" spans="1:11" x14ac:dyDescent="0.25">
      <c r="A68" s="11">
        <v>20093</v>
      </c>
      <c r="B68" s="5">
        <v>1.35E-2</v>
      </c>
      <c r="C68" s="6">
        <v>-4.48E-2</v>
      </c>
      <c r="D68" s="7">
        <v>-3.1300000000000001E-2</v>
      </c>
      <c r="I68" s="5">
        <f t="shared" si="3"/>
        <v>1.35E-2</v>
      </c>
      <c r="J68" s="6">
        <f t="shared" si="4"/>
        <v>-1.5361907032409534E-2</v>
      </c>
      <c r="K68" s="7">
        <f t="shared" si="5"/>
        <v>-2.0692927773470204E-3</v>
      </c>
    </row>
    <row r="69" spans="1:11" x14ac:dyDescent="0.25">
      <c r="A69" s="11">
        <v>20092</v>
      </c>
      <c r="B69" s="5">
        <v>1.32E-2</v>
      </c>
      <c r="C69" s="6">
        <v>-6.4299999999999996E-2</v>
      </c>
      <c r="D69" s="7">
        <v>-5.11E-2</v>
      </c>
      <c r="I69" s="5">
        <f t="shared" si="3"/>
        <v>1.32E-2</v>
      </c>
      <c r="J69" s="6">
        <f t="shared" si="4"/>
        <v>-1.0858538920374227E-2</v>
      </c>
      <c r="K69" s="7">
        <f t="shared" si="5"/>
        <v>2.1981283658769613E-3</v>
      </c>
    </row>
    <row r="70" spans="1:11" x14ac:dyDescent="0.25">
      <c r="A70" s="11">
        <v>20091</v>
      </c>
      <c r="B70" s="5">
        <v>1.2E-2</v>
      </c>
      <c r="C70" s="6">
        <v>-9.9699999999999997E-2</v>
      </c>
      <c r="D70" s="7">
        <v>-8.77E-2</v>
      </c>
      <c r="I70" s="5">
        <f t="shared" si="3"/>
        <v>1.2E-2</v>
      </c>
      <c r="J70" s="6">
        <f t="shared" si="4"/>
        <v>-0.10634244149012298</v>
      </c>
      <c r="K70" s="7">
        <f t="shared" si="5"/>
        <v>-9.5618550788004408E-2</v>
      </c>
    </row>
    <row r="71" spans="1:11" x14ac:dyDescent="0.25">
      <c r="A71" s="11">
        <v>20084</v>
      </c>
      <c r="B71" s="5">
        <v>1.12E-2</v>
      </c>
      <c r="C71" s="6">
        <v>-9.5299999999999996E-2</v>
      </c>
      <c r="D71" s="7">
        <v>-8.4099999999999994E-2</v>
      </c>
      <c r="I71" s="5">
        <f t="shared" ref="I71:I102" si="6">+B71</f>
        <v>1.12E-2</v>
      </c>
      <c r="J71" s="6">
        <f t="shared" ref="J71:J102" si="7">(C71-($C$2*C72))/(1-$C$2)</f>
        <v>-0.21727938009134917</v>
      </c>
      <c r="K71" s="7">
        <f t="shared" ref="K71:K102" si="8">(1+I71)*(1+J71)-1</f>
        <v>-0.20851290914837217</v>
      </c>
    </row>
    <row r="72" spans="1:11" x14ac:dyDescent="0.25">
      <c r="A72" s="11">
        <v>20083</v>
      </c>
      <c r="B72" s="5">
        <v>1.0999999999999999E-2</v>
      </c>
      <c r="C72" s="6">
        <v>-1.4500000000000001E-2</v>
      </c>
      <c r="D72" s="7">
        <v>-3.5000000000000001E-3</v>
      </c>
      <c r="I72" s="5">
        <f t="shared" si="6"/>
        <v>1.0999999999999999E-2</v>
      </c>
      <c r="J72" s="6">
        <f t="shared" si="7"/>
        <v>-2.385980391790056E-2</v>
      </c>
      <c r="K72" s="7">
        <f t="shared" si="8"/>
        <v>-1.3122261760997511E-2</v>
      </c>
    </row>
    <row r="73" spans="1:11" x14ac:dyDescent="0.25">
      <c r="A73" s="11">
        <v>20082</v>
      </c>
      <c r="B73" s="5">
        <v>1.0999999999999999E-2</v>
      </c>
      <c r="C73" s="6">
        <v>-8.3000000000000001E-3</v>
      </c>
      <c r="D73" s="7">
        <v>2.7000000000000001E-3</v>
      </c>
      <c r="I73" s="5">
        <f t="shared" si="6"/>
        <v>1.0999999999999999E-2</v>
      </c>
      <c r="J73" s="6">
        <f t="shared" si="7"/>
        <v>-2.3396457932097676E-2</v>
      </c>
      <c r="K73" s="7">
        <f t="shared" si="8"/>
        <v>-1.2653818969350805E-2</v>
      </c>
    </row>
    <row r="74" spans="1:11" x14ac:dyDescent="0.25">
      <c r="A74" s="11">
        <v>20081</v>
      </c>
      <c r="B74" s="5">
        <v>1.09E-2</v>
      </c>
      <c r="C74" s="6">
        <v>1.6999999999999999E-3</v>
      </c>
      <c r="D74" s="7">
        <v>1.26E-2</v>
      </c>
      <c r="I74" s="5">
        <f t="shared" si="6"/>
        <v>1.09E-2</v>
      </c>
      <c r="J74" s="6">
        <f t="shared" si="7"/>
        <v>-6.15015812469079E-3</v>
      </c>
      <c r="K74" s="7">
        <f t="shared" si="8"/>
        <v>4.6828051517500136E-3</v>
      </c>
    </row>
    <row r="75" spans="1:11" x14ac:dyDescent="0.25">
      <c r="A75" s="11">
        <v>20074</v>
      </c>
      <c r="B75" s="5">
        <v>1.14E-2</v>
      </c>
      <c r="C75" s="6">
        <v>6.8999999999999999E-3</v>
      </c>
      <c r="D75" s="7">
        <v>1.83E-2</v>
      </c>
      <c r="I75" s="5">
        <f t="shared" si="6"/>
        <v>1.14E-2</v>
      </c>
      <c r="J75" s="6">
        <f t="shared" si="7"/>
        <v>-1.0913820359875259E-2</v>
      </c>
      <c r="K75" s="7">
        <f t="shared" si="8"/>
        <v>3.6176208802207732E-4</v>
      </c>
    </row>
    <row r="76" spans="1:11" x14ac:dyDescent="0.25">
      <c r="A76" s="11">
        <v>20073</v>
      </c>
      <c r="B76" s="5">
        <v>1.14E-2</v>
      </c>
      <c r="C76" s="6">
        <v>1.8700000000000001E-2</v>
      </c>
      <c r="D76" s="7">
        <v>3.0099999999999998E-2</v>
      </c>
      <c r="I76" s="5">
        <f t="shared" si="6"/>
        <v>1.14E-2</v>
      </c>
      <c r="J76" s="6">
        <f t="shared" si="7"/>
        <v>1.5378779254938517E-2</v>
      </c>
      <c r="K76" s="7">
        <f t="shared" si="8"/>
        <v>2.6954097338444782E-2</v>
      </c>
    </row>
    <row r="77" spans="1:11" x14ac:dyDescent="0.25">
      <c r="A77" s="11">
        <v>20072</v>
      </c>
      <c r="B77" s="5">
        <v>1.1599999999999999E-2</v>
      </c>
      <c r="C77" s="6">
        <v>2.0899999999999998E-2</v>
      </c>
      <c r="D77" s="7">
        <v>3.2500000000000001E-2</v>
      </c>
      <c r="I77" s="5">
        <f t="shared" si="6"/>
        <v>1.1599999999999999E-2</v>
      </c>
      <c r="J77" s="6">
        <f t="shared" si="7"/>
        <v>2.3164468689814647E-2</v>
      </c>
      <c r="K77" s="7">
        <f t="shared" si="8"/>
        <v>3.5033176526616527E-2</v>
      </c>
    </row>
    <row r="78" spans="1:11" x14ac:dyDescent="0.25">
      <c r="A78" s="11">
        <v>20071</v>
      </c>
      <c r="B78" s="5">
        <v>1.23E-2</v>
      </c>
      <c r="C78" s="6">
        <v>1.9400000000000001E-2</v>
      </c>
      <c r="D78" s="7">
        <v>3.1699999999999999E-2</v>
      </c>
      <c r="I78" s="5">
        <f t="shared" si="6"/>
        <v>1.23E-2</v>
      </c>
      <c r="J78" s="6">
        <f t="shared" si="7"/>
        <v>1.4720098041049724E-2</v>
      </c>
      <c r="K78" s="7">
        <f t="shared" si="8"/>
        <v>2.7201155246954656E-2</v>
      </c>
    </row>
    <row r="79" spans="1:11" x14ac:dyDescent="0.25">
      <c r="A79" s="11">
        <v>20064</v>
      </c>
      <c r="B79" s="5">
        <v>1.2800000000000001E-2</v>
      </c>
      <c r="C79" s="6">
        <v>2.2499999999999999E-2</v>
      </c>
      <c r="D79" s="7">
        <v>3.5299999999999998E-2</v>
      </c>
      <c r="I79" s="5">
        <f t="shared" si="6"/>
        <v>1.2800000000000001E-2</v>
      </c>
      <c r="J79" s="6">
        <f t="shared" si="7"/>
        <v>3.1708839338579577E-2</v>
      </c>
      <c r="K79" s="7">
        <f t="shared" si="8"/>
        <v>4.4914712482113428E-2</v>
      </c>
    </row>
    <row r="80" spans="1:11" x14ac:dyDescent="0.25">
      <c r="A80" s="11">
        <v>20063</v>
      </c>
      <c r="B80" s="5">
        <v>1.29E-2</v>
      </c>
      <c r="C80" s="6">
        <v>1.6400000000000001E-2</v>
      </c>
      <c r="D80" s="7">
        <v>2.93E-2</v>
      </c>
      <c r="I80" s="5">
        <f t="shared" si="6"/>
        <v>1.29E-2</v>
      </c>
      <c r="J80" s="6">
        <f t="shared" si="7"/>
        <v>2.5112587024701408E-3</v>
      </c>
      <c r="K80" s="7">
        <f t="shared" si="8"/>
        <v>1.5443653939731794E-2</v>
      </c>
    </row>
    <row r="81" spans="1:11" x14ac:dyDescent="0.25">
      <c r="A81" s="11">
        <v>20062</v>
      </c>
      <c r="B81" s="5">
        <v>1.3599999999999999E-2</v>
      </c>
      <c r="C81" s="6">
        <v>2.5600000000000001E-2</v>
      </c>
      <c r="D81" s="7">
        <v>3.9199999999999999E-2</v>
      </c>
      <c r="I81" s="5">
        <f t="shared" si="6"/>
        <v>1.3599999999999999E-2</v>
      </c>
      <c r="J81" s="6">
        <f t="shared" si="7"/>
        <v>3.0883760276234185E-2</v>
      </c>
      <c r="K81" s="7">
        <f t="shared" si="8"/>
        <v>4.4903779415990996E-2</v>
      </c>
    </row>
    <row r="82" spans="1:11" x14ac:dyDescent="0.25">
      <c r="A82" s="11">
        <v>20061</v>
      </c>
      <c r="B82" s="5">
        <v>1.35E-2</v>
      </c>
      <c r="C82" s="6">
        <v>2.2100000000000002E-2</v>
      </c>
      <c r="D82" s="7">
        <v>3.56E-2</v>
      </c>
      <c r="I82" s="5">
        <f t="shared" si="6"/>
        <v>1.35E-2</v>
      </c>
      <c r="J82" s="6">
        <f t="shared" si="7"/>
        <v>-1.2017994926540739E-2</v>
      </c>
      <c r="K82" s="7">
        <f t="shared" si="8"/>
        <v>1.3197621419509531E-3</v>
      </c>
    </row>
    <row r="83" spans="1:11" x14ac:dyDescent="0.25">
      <c r="A83" s="11">
        <v>20054</v>
      </c>
      <c r="B83" s="5">
        <v>1.3599999999999999E-2</v>
      </c>
      <c r="C83" s="6">
        <v>4.4699999999999997E-2</v>
      </c>
      <c r="D83" s="7">
        <v>5.8299999999999998E-2</v>
      </c>
      <c r="I83" s="5">
        <f t="shared" si="6"/>
        <v>1.3599999999999999E-2</v>
      </c>
      <c r="J83" s="6">
        <f t="shared" si="7"/>
        <v>6.3721536994443065E-2</v>
      </c>
      <c r="K83" s="7">
        <f t="shared" si="8"/>
        <v>7.8188149897567616E-2</v>
      </c>
    </row>
    <row r="84" spans="1:11" x14ac:dyDescent="0.25">
      <c r="A84" s="11">
        <v>20053</v>
      </c>
      <c r="B84" s="5">
        <v>1.38E-2</v>
      </c>
      <c r="C84" s="6">
        <v>3.2099999999999997E-2</v>
      </c>
      <c r="D84" s="7">
        <v>4.5900000000000003E-2</v>
      </c>
      <c r="I84" s="5">
        <f t="shared" si="6"/>
        <v>1.38E-2</v>
      </c>
      <c r="J84" s="6">
        <f t="shared" si="7"/>
        <v>1.3833285902161797E-2</v>
      </c>
      <c r="K84" s="7">
        <f t="shared" si="8"/>
        <v>2.7824185247611544E-2</v>
      </c>
    </row>
    <row r="85" spans="1:11" x14ac:dyDescent="0.25">
      <c r="A85" s="11">
        <v>20052</v>
      </c>
      <c r="B85" s="5">
        <v>1.4E-2</v>
      </c>
      <c r="C85" s="6">
        <v>4.4200000000000003E-2</v>
      </c>
      <c r="D85" s="7">
        <v>5.8299999999999998E-2</v>
      </c>
      <c r="I85" s="5">
        <f t="shared" si="6"/>
        <v>1.4E-2</v>
      </c>
      <c r="J85" s="6">
        <f t="shared" si="7"/>
        <v>7.650641997468903E-2</v>
      </c>
      <c r="K85" s="7">
        <f t="shared" si="8"/>
        <v>9.1577509854334549E-2</v>
      </c>
    </row>
    <row r="86" spans="1:11" x14ac:dyDescent="0.25">
      <c r="A86" s="11">
        <v>20051</v>
      </c>
      <c r="B86" s="5">
        <v>1.4200000000000001E-2</v>
      </c>
      <c r="C86" s="6">
        <v>2.2800000000000001E-2</v>
      </c>
      <c r="D86" s="7">
        <v>3.7100000000000001E-2</v>
      </c>
      <c r="I86" s="5">
        <f t="shared" si="6"/>
        <v>1.4200000000000001E-2</v>
      </c>
      <c r="J86" s="6">
        <f t="shared" si="7"/>
        <v>2.0837460468827302E-2</v>
      </c>
      <c r="K86" s="7">
        <f t="shared" si="8"/>
        <v>3.5333352407484586E-2</v>
      </c>
    </row>
    <row r="87" spans="1:11" x14ac:dyDescent="0.25">
      <c r="A87" s="11">
        <v>20044</v>
      </c>
      <c r="B87" s="5">
        <v>1.47E-2</v>
      </c>
      <c r="C87" s="6">
        <v>2.41E-2</v>
      </c>
      <c r="D87" s="7">
        <v>3.8800000000000001E-2</v>
      </c>
      <c r="I87" s="5">
        <f t="shared" si="6"/>
        <v>1.47E-2</v>
      </c>
      <c r="J87" s="6">
        <f t="shared" si="7"/>
        <v>3.8894528773455721E-2</v>
      </c>
      <c r="K87" s="7">
        <f t="shared" si="8"/>
        <v>5.4166278346425401E-2</v>
      </c>
    </row>
    <row r="88" spans="1:11" x14ac:dyDescent="0.25">
      <c r="A88" s="11">
        <v>20043</v>
      </c>
      <c r="B88" s="5">
        <v>1.46E-2</v>
      </c>
      <c r="C88" s="6">
        <v>1.43E-2</v>
      </c>
      <c r="D88" s="7">
        <v>2.8899999999999999E-2</v>
      </c>
      <c r="I88" s="5">
        <f t="shared" si="6"/>
        <v>1.46E-2</v>
      </c>
      <c r="J88" s="6">
        <f t="shared" si="7"/>
        <v>1.7621220745061488E-2</v>
      </c>
      <c r="K88" s="7">
        <f t="shared" si="8"/>
        <v>3.2478490567939389E-2</v>
      </c>
    </row>
    <row r="89" spans="1:11" x14ac:dyDescent="0.25">
      <c r="A89" s="11">
        <v>20042</v>
      </c>
      <c r="B89" s="5">
        <v>1.4999999999999999E-2</v>
      </c>
      <c r="C89" s="6">
        <v>1.21E-2</v>
      </c>
      <c r="D89" s="7">
        <v>2.7099999999999999E-2</v>
      </c>
      <c r="I89" s="5">
        <f t="shared" si="6"/>
        <v>1.4999999999999999E-2</v>
      </c>
      <c r="J89" s="6">
        <f t="shared" si="7"/>
        <v>7.2691334617287452E-3</v>
      </c>
      <c r="K89" s="7">
        <f t="shared" si="8"/>
        <v>2.2378170463654534E-2</v>
      </c>
    </row>
    <row r="90" spans="1:11" x14ac:dyDescent="0.25">
      <c r="A90" s="11">
        <v>20041</v>
      </c>
      <c r="B90" s="5">
        <v>1.52E-2</v>
      </c>
      <c r="C90" s="6">
        <v>1.5299999999999999E-2</v>
      </c>
      <c r="D90" s="7">
        <v>3.0499999999999999E-2</v>
      </c>
      <c r="I90" s="5">
        <f t="shared" si="6"/>
        <v>1.52E-2</v>
      </c>
      <c r="J90" s="6">
        <f t="shared" si="7"/>
        <v>3.0094528773455722E-2</v>
      </c>
      <c r="K90" s="7">
        <f t="shared" si="8"/>
        <v>4.5751965610812295E-2</v>
      </c>
    </row>
    <row r="91" spans="1:11" x14ac:dyDescent="0.25">
      <c r="A91" s="11">
        <v>20034</v>
      </c>
      <c r="B91" s="5">
        <v>1.54E-2</v>
      </c>
      <c r="C91" s="6">
        <v>5.4999999999999997E-3</v>
      </c>
      <c r="D91" s="7">
        <v>2.0899999999999998E-2</v>
      </c>
      <c r="I91" s="5">
        <f t="shared" si="6"/>
        <v>1.54E-2</v>
      </c>
      <c r="J91" s="6">
        <f t="shared" si="7"/>
        <v>5.9528937379629294E-3</v>
      </c>
      <c r="K91" s="7">
        <f t="shared" si="8"/>
        <v>2.1444568301527633E-2</v>
      </c>
    </row>
    <row r="92" spans="1:11" x14ac:dyDescent="0.25">
      <c r="A92" s="11">
        <v>20033</v>
      </c>
      <c r="B92" s="5">
        <v>1.4999999999999999E-2</v>
      </c>
      <c r="C92" s="6">
        <v>5.1999999999999998E-3</v>
      </c>
      <c r="D92" s="7">
        <v>2.0299999999999999E-2</v>
      </c>
      <c r="I92" s="5">
        <f t="shared" si="6"/>
        <v>1.4999999999999999E-2</v>
      </c>
      <c r="J92" s="6">
        <f t="shared" si="7"/>
        <v>2.180708413580465E-3</v>
      </c>
      <c r="K92" s="7">
        <f t="shared" si="8"/>
        <v>1.7213419039784128E-2</v>
      </c>
    </row>
    <row r="93" spans="1:11" x14ac:dyDescent="0.25">
      <c r="A93" s="11">
        <v>20032</v>
      </c>
      <c r="B93" s="5">
        <v>1.5599999999999999E-2</v>
      </c>
      <c r="C93" s="6">
        <v>7.1999999999999998E-3</v>
      </c>
      <c r="D93" s="7">
        <v>2.29E-2</v>
      </c>
      <c r="I93" s="5">
        <f t="shared" si="6"/>
        <v>1.5599999999999999E-2</v>
      </c>
      <c r="J93" s="6">
        <f t="shared" si="7"/>
        <v>8.5586812138887906E-3</v>
      </c>
      <c r="K93" s="7">
        <f t="shared" si="8"/>
        <v>2.4292196640825381E-2</v>
      </c>
    </row>
    <row r="94" spans="1:11" x14ac:dyDescent="0.25">
      <c r="A94" s="11">
        <v>20031</v>
      </c>
      <c r="B94" s="5">
        <v>1.6E-2</v>
      </c>
      <c r="C94" s="6">
        <v>6.3E-3</v>
      </c>
      <c r="D94" s="7">
        <v>2.24E-2</v>
      </c>
      <c r="I94" s="5">
        <f t="shared" si="6"/>
        <v>1.6E-2</v>
      </c>
      <c r="J94" s="6">
        <f t="shared" si="7"/>
        <v>9.7721853243824645E-3</v>
      </c>
      <c r="K94" s="7">
        <f t="shared" si="8"/>
        <v>2.5928540289572588E-2</v>
      </c>
    </row>
    <row r="95" spans="1:11" x14ac:dyDescent="0.25">
      <c r="A95" s="11">
        <v>20024</v>
      </c>
      <c r="B95" s="5">
        <v>1.6400000000000001E-2</v>
      </c>
      <c r="C95" s="6">
        <v>4.0000000000000001E-3</v>
      </c>
      <c r="D95" s="7">
        <v>2.0400000000000001E-2</v>
      </c>
      <c r="I95" s="5">
        <f t="shared" si="6"/>
        <v>1.6400000000000001E-2</v>
      </c>
      <c r="J95" s="6">
        <f t="shared" si="7"/>
        <v>-4.1520872833327449E-3</v>
      </c>
      <c r="K95" s="7">
        <f t="shared" si="8"/>
        <v>1.217981848522065E-2</v>
      </c>
    </row>
    <row r="96" spans="1:11" x14ac:dyDescent="0.25">
      <c r="A96" s="11">
        <v>20023</v>
      </c>
      <c r="B96" s="5">
        <v>1.72E-2</v>
      </c>
      <c r="C96" s="6">
        <v>9.4000000000000004E-3</v>
      </c>
      <c r="D96" s="7">
        <v>2.6700000000000002E-2</v>
      </c>
      <c r="I96" s="5">
        <f t="shared" si="6"/>
        <v>1.72E-2</v>
      </c>
      <c r="J96" s="6">
        <f t="shared" si="7"/>
        <v>2.2684882980245954E-2</v>
      </c>
      <c r="K96" s="7">
        <f t="shared" si="8"/>
        <v>4.0275062967506381E-2</v>
      </c>
    </row>
    <row r="97" spans="1:11" x14ac:dyDescent="0.25">
      <c r="A97" s="11">
        <v>20022</v>
      </c>
      <c r="B97" s="5">
        <v>1.7899999999999999E-2</v>
      </c>
      <c r="C97" s="6">
        <v>5.9999999999999995E-4</v>
      </c>
      <c r="D97" s="7">
        <v>1.8499999999999999E-2</v>
      </c>
      <c r="I97" s="5">
        <f t="shared" si="6"/>
        <v>1.7899999999999999E-2</v>
      </c>
      <c r="J97" s="6">
        <f t="shared" si="7"/>
        <v>-7.5868121388879088E-4</v>
      </c>
      <c r="K97" s="7">
        <f t="shared" si="8"/>
        <v>1.7127738392382685E-2</v>
      </c>
    </row>
    <row r="98" spans="1:11" x14ac:dyDescent="0.25">
      <c r="A98" s="11">
        <v>20021</v>
      </c>
      <c r="B98" s="5">
        <v>1.8100000000000002E-2</v>
      </c>
      <c r="C98" s="6">
        <v>1.5E-3</v>
      </c>
      <c r="D98" s="7">
        <v>1.9599999999999999E-2</v>
      </c>
      <c r="I98" s="5">
        <f t="shared" si="6"/>
        <v>1.8100000000000002E-2</v>
      </c>
      <c r="J98" s="6">
        <f t="shared" si="7"/>
        <v>9.501122704011768E-3</v>
      </c>
      <c r="K98" s="7">
        <f t="shared" si="8"/>
        <v>2.7773093024954454E-2</v>
      </c>
    </row>
    <row r="99" spans="1:11" x14ac:dyDescent="0.25">
      <c r="A99" s="11">
        <v>20014</v>
      </c>
      <c r="B99" s="5">
        <v>1.9E-2</v>
      </c>
      <c r="C99" s="6">
        <v>-3.8E-3</v>
      </c>
      <c r="D99" s="7">
        <v>1.52E-2</v>
      </c>
      <c r="I99" s="5">
        <f t="shared" si="6"/>
        <v>1.9E-2</v>
      </c>
      <c r="J99" s="6">
        <f t="shared" si="7"/>
        <v>-1.4216555973147397E-2</v>
      </c>
      <c r="K99" s="7">
        <f t="shared" si="8"/>
        <v>4.5133294633625809E-3</v>
      </c>
    </row>
    <row r="100" spans="1:11" x14ac:dyDescent="0.25">
      <c r="A100" s="11">
        <v>20013</v>
      </c>
      <c r="B100" s="5">
        <v>1.9300000000000001E-2</v>
      </c>
      <c r="C100" s="6">
        <v>3.0999999999999999E-3</v>
      </c>
      <c r="D100" s="7">
        <v>2.2499999999999999E-2</v>
      </c>
      <c r="I100" s="5">
        <f t="shared" si="6"/>
        <v>1.9300000000000001E-2</v>
      </c>
      <c r="J100" s="6">
        <f t="shared" si="7"/>
        <v>-3.8443706487649308E-3</v>
      </c>
      <c r="K100" s="7">
        <f t="shared" si="8"/>
        <v>1.5381432997713995E-2</v>
      </c>
    </row>
    <row r="101" spans="1:11" x14ac:dyDescent="0.25">
      <c r="A101" s="11">
        <v>20012</v>
      </c>
      <c r="B101" s="5">
        <v>1.9800000000000002E-2</v>
      </c>
      <c r="C101" s="6">
        <v>7.7000000000000002E-3</v>
      </c>
      <c r="D101" s="7">
        <v>2.75E-2</v>
      </c>
      <c r="I101" s="5">
        <f t="shared" si="6"/>
        <v>1.9800000000000002E-2</v>
      </c>
      <c r="J101" s="6">
        <f t="shared" si="7"/>
        <v>1.2379901958950279E-2</v>
      </c>
      <c r="K101" s="7">
        <f t="shared" si="8"/>
        <v>3.2425024017737503E-2</v>
      </c>
    </row>
    <row r="102" spans="1:11" x14ac:dyDescent="0.25">
      <c r="A102" s="11">
        <v>20011</v>
      </c>
      <c r="B102" s="5">
        <v>2.0199999999999999E-2</v>
      </c>
      <c r="C102" s="6">
        <v>4.5999999999999999E-3</v>
      </c>
      <c r="D102" s="7">
        <v>2.4799999999999999E-2</v>
      </c>
      <c r="I102" s="5">
        <f t="shared" si="6"/>
        <v>2.0199999999999999E-2</v>
      </c>
      <c r="J102" s="6">
        <f t="shared" si="7"/>
        <v>-1.8195651477467489E-2</v>
      </c>
      <c r="K102" s="7">
        <f t="shared" si="8"/>
        <v>1.6367963626877646E-3</v>
      </c>
    </row>
    <row r="103" spans="1:11" x14ac:dyDescent="0.25">
      <c r="A103" s="11">
        <v>20004</v>
      </c>
      <c r="B103" s="5">
        <v>2.07E-2</v>
      </c>
      <c r="C103" s="6">
        <v>1.9699999999999999E-2</v>
      </c>
      <c r="D103" s="7">
        <v>4.0399999999999998E-2</v>
      </c>
      <c r="I103" s="5">
        <f t="shared" ref="I103:I134" si="9">+B103</f>
        <v>2.07E-2</v>
      </c>
      <c r="J103" s="6">
        <f t="shared" ref="J103:J134" si="10">(C103-($C$2*C104))/(1-$C$2)</f>
        <v>3.3739705876850837E-2</v>
      </c>
      <c r="K103" s="7">
        <f t="shared" ref="K103:K134" si="11">(1+I103)*(1+J103)-1</f>
        <v>5.513811778850175E-2</v>
      </c>
    </row>
    <row r="104" spans="1:11" x14ac:dyDescent="0.25">
      <c r="A104" s="11">
        <v>20003</v>
      </c>
      <c r="B104" s="5">
        <v>2.0500000000000001E-2</v>
      </c>
      <c r="C104" s="6">
        <v>1.04E-2</v>
      </c>
      <c r="D104" s="7">
        <v>3.09E-2</v>
      </c>
      <c r="I104" s="5">
        <f t="shared" si="9"/>
        <v>2.0500000000000001E-2</v>
      </c>
      <c r="J104" s="6">
        <f t="shared" si="10"/>
        <v>1.221157495185172E-2</v>
      </c>
      <c r="K104" s="7">
        <f t="shared" si="11"/>
        <v>3.2961912238364643E-2</v>
      </c>
    </row>
    <row r="105" spans="1:11" x14ac:dyDescent="0.25">
      <c r="A105" s="11">
        <v>20002</v>
      </c>
      <c r="B105" s="5">
        <v>0.02</v>
      </c>
      <c r="C105" s="6">
        <v>9.1999999999999998E-3</v>
      </c>
      <c r="D105" s="7">
        <v>2.9100000000000001E-2</v>
      </c>
      <c r="I105" s="5">
        <f t="shared" si="9"/>
        <v>0.02</v>
      </c>
      <c r="J105" s="6">
        <f t="shared" si="10"/>
        <v>1.6748228966048839E-2</v>
      </c>
      <c r="K105" s="7">
        <f t="shared" si="11"/>
        <v>3.7083193545369708E-2</v>
      </c>
    </row>
    <row r="106" spans="1:11" x14ac:dyDescent="0.25">
      <c r="A106" s="11">
        <v>20001</v>
      </c>
      <c r="B106" s="5">
        <v>1.9599999999999999E-2</v>
      </c>
      <c r="C106" s="6">
        <v>4.1999999999999997E-3</v>
      </c>
      <c r="D106" s="7">
        <v>2.3800000000000002E-2</v>
      </c>
      <c r="I106" s="5">
        <f t="shared" si="9"/>
        <v>1.9599999999999999E-2</v>
      </c>
      <c r="J106" s="6">
        <f t="shared" si="10"/>
        <v>-6.6694497111103278E-3</v>
      </c>
      <c r="K106" s="7">
        <f t="shared" si="11"/>
        <v>1.2799829074552127E-2</v>
      </c>
    </row>
    <row r="107" spans="1:11" x14ac:dyDescent="0.25">
      <c r="A107" s="11">
        <v>19994</v>
      </c>
      <c r="B107" s="5">
        <v>0.02</v>
      </c>
      <c r="C107" s="6">
        <v>1.14E-2</v>
      </c>
      <c r="D107" s="7">
        <v>3.1300000000000001E-2</v>
      </c>
      <c r="I107" s="5">
        <f t="shared" si="9"/>
        <v>0.02</v>
      </c>
      <c r="J107" s="6">
        <f t="shared" si="10"/>
        <v>1.7589547752160047E-2</v>
      </c>
      <c r="K107" s="7">
        <f t="shared" si="11"/>
        <v>3.7941338707203398E-2</v>
      </c>
    </row>
    <row r="108" spans="1:11" x14ac:dyDescent="0.25">
      <c r="A108" s="11">
        <v>19993</v>
      </c>
      <c r="B108" s="5">
        <v>1.9800000000000002E-2</v>
      </c>
      <c r="C108" s="6">
        <v>7.3000000000000001E-3</v>
      </c>
      <c r="D108" s="7">
        <v>2.7E-2</v>
      </c>
      <c r="I108" s="5">
        <f t="shared" si="9"/>
        <v>1.9800000000000002E-2</v>
      </c>
      <c r="J108" s="6">
        <f t="shared" si="10"/>
        <v>1.0470256165740511E-2</v>
      </c>
      <c r="K108" s="7">
        <f t="shared" si="11"/>
        <v>3.0477567237822356E-2</v>
      </c>
    </row>
    <row r="109" spans="1:11" x14ac:dyDescent="0.25">
      <c r="A109" s="11">
        <v>19992</v>
      </c>
      <c r="B109" s="5">
        <v>1.9800000000000002E-2</v>
      </c>
      <c r="C109" s="6">
        <v>5.1999999999999998E-3</v>
      </c>
      <c r="D109" s="7">
        <v>2.5100000000000001E-2</v>
      </c>
      <c r="I109" s="5">
        <f t="shared" si="9"/>
        <v>1.9800000000000002E-2</v>
      </c>
      <c r="J109" s="6">
        <f t="shared" si="10"/>
        <v>9.7299177901264983E-4</v>
      </c>
      <c r="K109" s="7">
        <f t="shared" si="11"/>
        <v>2.0792257016237103E-2</v>
      </c>
    </row>
    <row r="110" spans="1:11" x14ac:dyDescent="0.25">
      <c r="A110" s="11">
        <v>19991</v>
      </c>
      <c r="B110" s="5">
        <v>2.0199999999999999E-2</v>
      </c>
      <c r="C110" s="6">
        <v>8.0000000000000002E-3</v>
      </c>
      <c r="D110" s="7">
        <v>2.8299999999999999E-2</v>
      </c>
      <c r="I110" s="5">
        <f t="shared" si="9"/>
        <v>2.0199999999999999E-2</v>
      </c>
      <c r="J110" s="6">
        <f t="shared" si="10"/>
        <v>1.0556293512350692E-3</v>
      </c>
      <c r="K110" s="7">
        <f t="shared" si="11"/>
        <v>2.1276953064130133E-2</v>
      </c>
    </row>
    <row r="111" spans="1:11" x14ac:dyDescent="0.25">
      <c r="A111" s="11">
        <v>19984</v>
      </c>
      <c r="B111" s="5">
        <v>2.0799999999999999E-2</v>
      </c>
      <c r="C111" s="6">
        <v>1.26E-2</v>
      </c>
      <c r="D111" s="7">
        <v>3.3399999999999999E-2</v>
      </c>
      <c r="I111" s="5">
        <f t="shared" si="9"/>
        <v>2.0799999999999999E-2</v>
      </c>
      <c r="J111" s="6">
        <f t="shared" si="10"/>
        <v>8.976850096296559E-3</v>
      </c>
      <c r="K111" s="7">
        <f t="shared" si="11"/>
        <v>2.9963568578299515E-2</v>
      </c>
    </row>
    <row r="112" spans="1:11" x14ac:dyDescent="0.25">
      <c r="A112" s="11">
        <v>19983</v>
      </c>
      <c r="B112" s="5">
        <v>2.1000000000000001E-2</v>
      </c>
      <c r="C112" s="6">
        <v>1.4999999999999999E-2</v>
      </c>
      <c r="D112" s="7">
        <v>3.61E-2</v>
      </c>
      <c r="I112" s="5">
        <f t="shared" si="9"/>
        <v>2.1000000000000001E-2</v>
      </c>
      <c r="J112" s="6">
        <f t="shared" si="10"/>
        <v>2.0585689434876143E-2</v>
      </c>
      <c r="K112" s="7">
        <f t="shared" si="11"/>
        <v>4.2017988913008564E-2</v>
      </c>
    </row>
    <row r="113" spans="1:11" x14ac:dyDescent="0.25">
      <c r="A113" s="11">
        <v>19982</v>
      </c>
      <c r="B113" s="5">
        <v>2.1299999999999999E-2</v>
      </c>
      <c r="C113" s="6">
        <v>1.1299999999999999E-2</v>
      </c>
      <c r="D113" s="7">
        <v>3.2599999999999997E-2</v>
      </c>
      <c r="I113" s="5">
        <f t="shared" si="9"/>
        <v>2.1299999999999999E-2</v>
      </c>
      <c r="J113" s="6">
        <f t="shared" si="10"/>
        <v>1.0545177103395115E-2</v>
      </c>
      <c r="K113" s="7">
        <f t="shared" si="11"/>
        <v>3.2069789375697599E-2</v>
      </c>
    </row>
    <row r="114" spans="1:11" x14ac:dyDescent="0.25">
      <c r="A114" s="11">
        <v>19981</v>
      </c>
      <c r="B114" s="5">
        <v>2.1100000000000001E-2</v>
      </c>
      <c r="C114" s="6">
        <v>1.18E-2</v>
      </c>
      <c r="D114" s="7">
        <v>3.2899999999999999E-2</v>
      </c>
      <c r="I114" s="5">
        <f t="shared" si="9"/>
        <v>2.1100000000000001E-2</v>
      </c>
      <c r="J114" s="6">
        <f t="shared" si="10"/>
        <v>3.4969481373462773E-3</v>
      </c>
      <c r="K114" s="7">
        <f t="shared" si="11"/>
        <v>2.4670733743044293E-2</v>
      </c>
    </row>
    <row r="115" spans="1:11" x14ac:dyDescent="0.25">
      <c r="A115" s="11">
        <v>19974</v>
      </c>
      <c r="B115" s="5">
        <v>2.1399999999999999E-2</v>
      </c>
      <c r="C115" s="6">
        <v>1.7299999999999999E-2</v>
      </c>
      <c r="D115" s="7">
        <v>3.8600000000000002E-2</v>
      </c>
      <c r="I115" s="5">
        <f t="shared" si="9"/>
        <v>2.1399999999999999E-2</v>
      </c>
      <c r="J115" s="6">
        <f t="shared" si="10"/>
        <v>2.4999193545369808E-2</v>
      </c>
      <c r="K115" s="7">
        <f t="shared" si="11"/>
        <v>4.6934176287240614E-2</v>
      </c>
    </row>
    <row r="116" spans="1:11" x14ac:dyDescent="0.25">
      <c r="A116" s="11">
        <v>19973</v>
      </c>
      <c r="B116" s="5">
        <v>2.1499999999999998E-2</v>
      </c>
      <c r="C116" s="6">
        <v>1.2200000000000001E-2</v>
      </c>
      <c r="D116" s="7">
        <v>3.3700000000000001E-2</v>
      </c>
      <c r="I116" s="5">
        <f t="shared" si="9"/>
        <v>2.1499999999999998E-2</v>
      </c>
      <c r="J116" s="6">
        <f t="shared" si="10"/>
        <v>1.8993406069443955E-2</v>
      </c>
      <c r="K116" s="7">
        <f t="shared" si="11"/>
        <v>4.0901764299936971E-2</v>
      </c>
    </row>
    <row r="117" spans="1:11" x14ac:dyDescent="0.25">
      <c r="A117" s="11">
        <v>19972</v>
      </c>
      <c r="B117" s="5">
        <v>2.1399999999999999E-2</v>
      </c>
      <c r="C117" s="6">
        <v>7.7000000000000002E-3</v>
      </c>
      <c r="D117" s="7">
        <v>2.9100000000000001E-2</v>
      </c>
      <c r="I117" s="5">
        <f t="shared" si="9"/>
        <v>2.1399999999999999E-2</v>
      </c>
      <c r="J117" s="6">
        <f t="shared" si="10"/>
        <v>1.5852087283332744E-2</v>
      </c>
      <c r="K117" s="7">
        <f t="shared" si="11"/>
        <v>3.7591321951196077E-2</v>
      </c>
    </row>
    <row r="118" spans="1:11" x14ac:dyDescent="0.25">
      <c r="A118" s="11">
        <v>19971</v>
      </c>
      <c r="B118" s="5">
        <v>2.06E-2</v>
      </c>
      <c r="C118" s="6">
        <v>2.3E-3</v>
      </c>
      <c r="D118" s="7">
        <v>2.29E-2</v>
      </c>
      <c r="I118" s="5">
        <f t="shared" si="9"/>
        <v>2.06E-2</v>
      </c>
      <c r="J118" s="6">
        <f t="shared" si="10"/>
        <v>-4.4934060694439525E-3</v>
      </c>
      <c r="K118" s="7">
        <f t="shared" si="11"/>
        <v>1.6014029765525573E-2</v>
      </c>
    </row>
    <row r="119" spans="1:11" x14ac:dyDescent="0.25">
      <c r="A119" s="11">
        <v>19964</v>
      </c>
      <c r="B119" s="5">
        <v>2.1700000000000001E-2</v>
      </c>
      <c r="C119" s="6">
        <v>6.7999999999999996E-3</v>
      </c>
      <c r="D119" s="7">
        <v>2.8500000000000001E-2</v>
      </c>
      <c r="I119" s="5">
        <f t="shared" si="9"/>
        <v>2.1700000000000001E-2</v>
      </c>
      <c r="J119" s="6">
        <f t="shared" si="10"/>
        <v>1.087604364166637E-2</v>
      </c>
      <c r="K119" s="7">
        <f t="shared" si="11"/>
        <v>3.2812053788690676E-2</v>
      </c>
    </row>
    <row r="120" spans="1:11" x14ac:dyDescent="0.25">
      <c r="A120" s="11">
        <v>19963</v>
      </c>
      <c r="B120" s="5">
        <v>2.18E-2</v>
      </c>
      <c r="C120" s="6">
        <v>4.1000000000000003E-3</v>
      </c>
      <c r="D120" s="7">
        <v>2.5899999999999999E-2</v>
      </c>
      <c r="I120" s="5">
        <f t="shared" si="9"/>
        <v>2.18E-2</v>
      </c>
      <c r="J120" s="6">
        <f t="shared" si="10"/>
        <v>4.7685009629655826E-4</v>
      </c>
      <c r="K120" s="7">
        <f t="shared" si="11"/>
        <v>2.2287245428395996E-2</v>
      </c>
    </row>
    <row r="121" spans="1:11" x14ac:dyDescent="0.25">
      <c r="A121" s="11">
        <v>19962</v>
      </c>
      <c r="B121" s="5">
        <v>2.2100000000000002E-2</v>
      </c>
      <c r="C121" s="6">
        <v>6.4999999999999997E-3</v>
      </c>
      <c r="D121" s="7">
        <v>2.86E-2</v>
      </c>
      <c r="I121" s="5">
        <f t="shared" si="9"/>
        <v>2.2100000000000002E-2</v>
      </c>
      <c r="J121" s="6">
        <f t="shared" si="10"/>
        <v>8.3115749518517211E-3</v>
      </c>
      <c r="K121" s="7">
        <f t="shared" si="11"/>
        <v>3.0595260758287557E-2</v>
      </c>
    </row>
    <row r="122" spans="1:11" x14ac:dyDescent="0.25">
      <c r="A122" s="11">
        <v>19961</v>
      </c>
      <c r="B122" s="5">
        <v>2.1700000000000001E-2</v>
      </c>
      <c r="C122" s="6">
        <v>5.3E-3</v>
      </c>
      <c r="D122" s="7">
        <v>2.7E-2</v>
      </c>
      <c r="I122" s="5">
        <f t="shared" si="9"/>
        <v>2.1700000000000001E-2</v>
      </c>
      <c r="J122" s="6">
        <f t="shared" si="10"/>
        <v>-4.5126976558634881E-3</v>
      </c>
      <c r="K122" s="7">
        <f t="shared" si="11"/>
        <v>1.7089376805004219E-2</v>
      </c>
    </row>
    <row r="123" spans="1:11" x14ac:dyDescent="0.25">
      <c r="A123" s="11">
        <v>19954</v>
      </c>
      <c r="B123" s="5">
        <v>2.24E-2</v>
      </c>
      <c r="C123" s="6">
        <v>1.18E-2</v>
      </c>
      <c r="D123" s="7">
        <v>3.4200000000000001E-2</v>
      </c>
      <c r="I123" s="5">
        <f t="shared" si="9"/>
        <v>2.24E-2</v>
      </c>
      <c r="J123" s="6">
        <f t="shared" si="10"/>
        <v>2.4179095504320094E-2</v>
      </c>
      <c r="K123" s="7">
        <f t="shared" si="11"/>
        <v>4.7120707243616833E-2</v>
      </c>
    </row>
    <row r="124" spans="1:11" x14ac:dyDescent="0.25">
      <c r="A124" s="11">
        <v>19953</v>
      </c>
      <c r="B124" s="5">
        <v>2.2700000000000001E-2</v>
      </c>
      <c r="C124" s="6">
        <v>3.5999999999999999E-3</v>
      </c>
      <c r="D124" s="7">
        <v>2.63E-2</v>
      </c>
      <c r="I124" s="5">
        <f t="shared" si="9"/>
        <v>2.2700000000000001E-2</v>
      </c>
      <c r="J124" s="6">
        <f t="shared" si="10"/>
        <v>2.5432479447531631E-3</v>
      </c>
      <c r="K124" s="7">
        <f t="shared" si="11"/>
        <v>2.5300979673098967E-2</v>
      </c>
    </row>
    <row r="125" spans="1:11" x14ac:dyDescent="0.25">
      <c r="A125" s="11">
        <v>19952</v>
      </c>
      <c r="B125" s="5">
        <v>2.23E-2</v>
      </c>
      <c r="C125" s="6">
        <v>4.3E-3</v>
      </c>
      <c r="D125" s="7">
        <v>2.6599999999999999E-2</v>
      </c>
      <c r="I125" s="5">
        <f t="shared" si="9"/>
        <v>2.23E-2</v>
      </c>
      <c r="J125" s="6">
        <f t="shared" si="10"/>
        <v>7.3192915864195348E-3</v>
      </c>
      <c r="K125" s="7">
        <f t="shared" si="11"/>
        <v>2.9782511788796651E-2</v>
      </c>
    </row>
    <row r="126" spans="1:11" x14ac:dyDescent="0.25">
      <c r="A126" s="11">
        <v>19951</v>
      </c>
      <c r="B126" s="5">
        <v>2.2499999999999999E-2</v>
      </c>
      <c r="C126" s="6">
        <v>2.3E-3</v>
      </c>
      <c r="D126" s="7">
        <v>2.4899999999999999E-2</v>
      </c>
      <c r="I126" s="5">
        <f t="shared" si="9"/>
        <v>2.2499999999999999E-2</v>
      </c>
      <c r="J126" s="6">
        <f t="shared" si="10"/>
        <v>-2.2005297270677258E-2</v>
      </c>
      <c r="K126" s="7">
        <f t="shared" si="11"/>
        <v>-4.164592675159895E-7</v>
      </c>
    </row>
    <row r="127" spans="1:11" x14ac:dyDescent="0.25">
      <c r="A127" s="11">
        <v>19944</v>
      </c>
      <c r="B127" s="5">
        <v>2.1700000000000001E-2</v>
      </c>
      <c r="C127" s="6">
        <v>1.84E-2</v>
      </c>
      <c r="D127" s="7">
        <v>4.0099999999999997E-2</v>
      </c>
      <c r="I127" s="5">
        <f t="shared" si="9"/>
        <v>2.1700000000000001E-2</v>
      </c>
      <c r="J127" s="6">
        <f t="shared" si="10"/>
        <v>4.2101438953393348E-2</v>
      </c>
      <c r="K127" s="7">
        <f t="shared" si="11"/>
        <v>6.4715040178682015E-2</v>
      </c>
    </row>
    <row r="128" spans="1:11" x14ac:dyDescent="0.25">
      <c r="A128" s="11">
        <v>19943</v>
      </c>
      <c r="B128" s="5">
        <v>2.2100000000000002E-2</v>
      </c>
      <c r="C128" s="6">
        <v>2.7000000000000001E-3</v>
      </c>
      <c r="D128" s="7">
        <v>2.4799999999999999E-2</v>
      </c>
      <c r="I128" s="5">
        <f t="shared" si="9"/>
        <v>2.2100000000000002E-2</v>
      </c>
      <c r="J128" s="6">
        <f t="shared" si="10"/>
        <v>2.8456673086437275E-4</v>
      </c>
      <c r="K128" s="7">
        <f t="shared" si="11"/>
        <v>2.2390855655616493E-2</v>
      </c>
    </row>
    <row r="129" spans="1:11" x14ac:dyDescent="0.25">
      <c r="A129" s="11">
        <v>19942</v>
      </c>
      <c r="B129" s="5">
        <v>2.1899999999999999E-2</v>
      </c>
      <c r="C129" s="6">
        <v>4.3E-3</v>
      </c>
      <c r="D129" s="7">
        <v>2.63E-2</v>
      </c>
      <c r="I129" s="5">
        <f t="shared" si="9"/>
        <v>2.1899999999999999E-2</v>
      </c>
      <c r="J129" s="6">
        <f t="shared" si="10"/>
        <v>7.0173624277775808E-3</v>
      </c>
      <c r="K129" s="7">
        <f t="shared" si="11"/>
        <v>2.907104266494609E-2</v>
      </c>
    </row>
    <row r="130" spans="1:11" x14ac:dyDescent="0.25">
      <c r="A130" s="11">
        <v>19941</v>
      </c>
      <c r="B130" s="5">
        <v>2.2100000000000002E-2</v>
      </c>
      <c r="C130" s="6">
        <v>2.5000000000000001E-3</v>
      </c>
      <c r="D130" s="7">
        <v>2.4500000000000001E-2</v>
      </c>
      <c r="I130" s="5">
        <f t="shared" si="9"/>
        <v>2.2100000000000002E-2</v>
      </c>
      <c r="J130" s="6">
        <f t="shared" si="10"/>
        <v>-1.606864325648014E-2</v>
      </c>
      <c r="K130" s="7">
        <f t="shared" si="11"/>
        <v>5.6762397275516019E-3</v>
      </c>
    </row>
    <row r="131" spans="1:11" x14ac:dyDescent="0.25">
      <c r="A131" s="11">
        <v>19934</v>
      </c>
      <c r="B131" s="5">
        <v>2.24E-2</v>
      </c>
      <c r="C131" s="6">
        <v>1.4800000000000001E-2</v>
      </c>
      <c r="D131" s="7">
        <v>3.7199999999999997E-2</v>
      </c>
      <c r="I131" s="5">
        <f t="shared" si="9"/>
        <v>2.24E-2</v>
      </c>
      <c r="J131" s="6">
        <f t="shared" si="10"/>
        <v>3.8652403532714333E-2</v>
      </c>
      <c r="K131" s="7">
        <f t="shared" si="11"/>
        <v>6.1918217371847106E-2</v>
      </c>
    </row>
    <row r="132" spans="1:11" x14ac:dyDescent="0.25">
      <c r="A132" s="11">
        <v>19933</v>
      </c>
      <c r="B132" s="5">
        <v>2.1100000000000001E-2</v>
      </c>
      <c r="C132" s="6">
        <v>-1E-3</v>
      </c>
      <c r="D132" s="7">
        <v>2.01E-2</v>
      </c>
      <c r="I132" s="5">
        <f t="shared" si="9"/>
        <v>2.1100000000000001E-2</v>
      </c>
      <c r="J132" s="6">
        <f t="shared" si="10"/>
        <v>6.3972643867278604E-3</v>
      </c>
      <c r="K132" s="7">
        <f t="shared" si="11"/>
        <v>2.763224666528763E-2</v>
      </c>
    </row>
    <row r="133" spans="1:11" x14ac:dyDescent="0.25">
      <c r="A133" s="11">
        <v>19932</v>
      </c>
      <c r="B133" s="5">
        <v>2.1399999999999999E-2</v>
      </c>
      <c r="C133" s="6">
        <v>-5.8999999999999999E-3</v>
      </c>
      <c r="D133" s="7">
        <v>1.55E-2</v>
      </c>
      <c r="I133" s="5">
        <f t="shared" si="9"/>
        <v>2.1399999999999999E-2</v>
      </c>
      <c r="J133" s="6">
        <f t="shared" si="10"/>
        <v>-9.1816888240776678E-4</v>
      </c>
      <c r="K133" s="7">
        <f t="shared" si="11"/>
        <v>2.0462182303508714E-2</v>
      </c>
    </row>
    <row r="134" spans="1:11" x14ac:dyDescent="0.25">
      <c r="A134" s="11">
        <v>19931</v>
      </c>
      <c r="B134" s="5">
        <v>2.12E-2</v>
      </c>
      <c r="C134" s="6">
        <v>-9.1999999999999998E-3</v>
      </c>
      <c r="D134" s="7">
        <v>1.21E-2</v>
      </c>
      <c r="I134" s="5">
        <f t="shared" si="9"/>
        <v>2.12E-2</v>
      </c>
      <c r="J134" s="6">
        <f t="shared" si="10"/>
        <v>-1.5008064546301846E-3</v>
      </c>
      <c r="K134" s="7">
        <f t="shared" si="11"/>
        <v>1.9667376448531781E-2</v>
      </c>
    </row>
    <row r="135" spans="1:11" x14ac:dyDescent="0.25">
      <c r="A135" s="11">
        <v>19924</v>
      </c>
      <c r="B135" s="5">
        <v>0.02</v>
      </c>
      <c r="C135" s="6">
        <v>-1.43E-2</v>
      </c>
      <c r="D135" s="7">
        <v>5.7999999999999996E-3</v>
      </c>
      <c r="I135" s="5">
        <f t="shared" ref="I135:I166" si="12">+B135</f>
        <v>0.02</v>
      </c>
      <c r="J135" s="6">
        <f t="shared" ref="J135:J166" si="13">(C135-($C$2*C136))/(1-$C$2)</f>
        <v>-9.3181688824077648E-3</v>
      </c>
      <c r="K135" s="7">
        <f t="shared" ref="K135:K166" si="14">(1+I135)*(1+J135)-1</f>
        <v>1.0495467739944031E-2</v>
      </c>
    </row>
    <row r="136" spans="1:11" x14ac:dyDescent="0.25">
      <c r="A136" s="11">
        <v>19923</v>
      </c>
      <c r="B136" s="5">
        <v>2.0199999999999999E-2</v>
      </c>
      <c r="C136" s="6">
        <v>-1.7600000000000001E-2</v>
      </c>
      <c r="D136" s="7">
        <v>2.7000000000000001E-3</v>
      </c>
      <c r="I136" s="5">
        <f t="shared" si="12"/>
        <v>2.0199999999999999E-2</v>
      </c>
      <c r="J136" s="6">
        <f t="shared" si="13"/>
        <v>-1.3222027199691675E-2</v>
      </c>
      <c r="K136" s="7">
        <f t="shared" si="14"/>
        <v>6.7108878508745917E-3</v>
      </c>
    </row>
    <row r="137" spans="1:11" x14ac:dyDescent="0.25">
      <c r="A137" s="11">
        <v>19922</v>
      </c>
      <c r="B137" s="5">
        <v>2.1000000000000001E-2</v>
      </c>
      <c r="C137" s="6">
        <v>-2.0500000000000001E-2</v>
      </c>
      <c r="D137" s="7">
        <v>5.0000000000000001E-4</v>
      </c>
      <c r="I137" s="5">
        <f t="shared" si="12"/>
        <v>2.1000000000000001E-2</v>
      </c>
      <c r="J137" s="6">
        <f t="shared" si="13"/>
        <v>-3.5596457932097675E-2</v>
      </c>
      <c r="K137" s="7">
        <f t="shared" si="14"/>
        <v>-1.5343983548671836E-2</v>
      </c>
    </row>
    <row r="138" spans="1:11" x14ac:dyDescent="0.25">
      <c r="A138" s="11">
        <v>19921</v>
      </c>
      <c r="B138" s="5">
        <v>1.9E-2</v>
      </c>
      <c r="C138" s="6">
        <v>-1.0500000000000001E-2</v>
      </c>
      <c r="D138" s="7">
        <v>8.5000000000000006E-3</v>
      </c>
      <c r="I138" s="5">
        <f t="shared" si="12"/>
        <v>1.9E-2</v>
      </c>
      <c r="J138" s="6">
        <f t="shared" si="13"/>
        <v>4.3545319396909671E-2</v>
      </c>
      <c r="K138" s="7">
        <f t="shared" si="14"/>
        <v>6.3372680465450859E-2</v>
      </c>
    </row>
    <row r="139" spans="1:11" x14ac:dyDescent="0.25">
      <c r="A139" s="11">
        <v>19914</v>
      </c>
      <c r="B139" s="5">
        <v>1.8100000000000002E-2</v>
      </c>
      <c r="C139" s="6">
        <v>-4.6300000000000001E-2</v>
      </c>
      <c r="D139" s="7">
        <v>-2.8199999999999999E-2</v>
      </c>
      <c r="I139" s="5">
        <f t="shared" si="12"/>
        <v>1.8100000000000002E-2</v>
      </c>
      <c r="J139" s="6">
        <f t="shared" si="13"/>
        <v>-9.5967346596601347E-2</v>
      </c>
      <c r="K139" s="7">
        <f t="shared" si="14"/>
        <v>-7.9604355569999785E-2</v>
      </c>
    </row>
    <row r="140" spans="1:11" x14ac:dyDescent="0.25">
      <c r="A140" s="11">
        <v>19913</v>
      </c>
      <c r="B140" s="5">
        <v>1.7600000000000001E-2</v>
      </c>
      <c r="C140" s="6">
        <v>-1.34E-2</v>
      </c>
      <c r="D140" s="7">
        <v>4.3E-3</v>
      </c>
      <c r="I140" s="5">
        <f t="shared" si="12"/>
        <v>1.7600000000000001E-2</v>
      </c>
      <c r="J140" s="6">
        <f t="shared" si="13"/>
        <v>-2.4722343449073259E-2</v>
      </c>
      <c r="K140" s="7">
        <f t="shared" si="14"/>
        <v>-7.5574566937769427E-3</v>
      </c>
    </row>
    <row r="141" spans="1:11" x14ac:dyDescent="0.25">
      <c r="A141" s="11">
        <v>19912</v>
      </c>
      <c r="B141" s="5">
        <v>1.72E-2</v>
      </c>
      <c r="C141" s="6">
        <v>-5.8999999999999999E-3</v>
      </c>
      <c r="D141" s="7">
        <v>1.1299999999999999E-2</v>
      </c>
      <c r="I141" s="5">
        <f t="shared" si="12"/>
        <v>1.72E-2</v>
      </c>
      <c r="J141" s="6">
        <f t="shared" si="13"/>
        <v>1.130996204259135E-2</v>
      </c>
      <c r="K141" s="7">
        <f t="shared" si="14"/>
        <v>2.8704493389724028E-2</v>
      </c>
    </row>
    <row r="142" spans="1:11" x14ac:dyDescent="0.25">
      <c r="A142" s="11">
        <v>19911</v>
      </c>
      <c r="B142" s="5">
        <v>1.6799999999999999E-2</v>
      </c>
      <c r="C142" s="6">
        <v>-1.7299999999999999E-2</v>
      </c>
      <c r="D142" s="7">
        <v>-5.0000000000000001E-4</v>
      </c>
      <c r="I142" s="5">
        <f t="shared" si="12"/>
        <v>1.6799999999999999E-2</v>
      </c>
      <c r="J142" s="6">
        <f t="shared" si="13"/>
        <v>-1.7903858317283909E-2</v>
      </c>
      <c r="K142" s="7">
        <f t="shared" si="14"/>
        <v>-1.404643137014383E-3</v>
      </c>
    </row>
    <row r="143" spans="1:11" x14ac:dyDescent="0.25">
      <c r="A143" s="11">
        <v>19904</v>
      </c>
      <c r="B143" s="5">
        <v>1.8700000000000001E-2</v>
      </c>
      <c r="C143" s="6">
        <v>-1.6899999999999998E-2</v>
      </c>
      <c r="D143" s="7">
        <v>1.8E-3</v>
      </c>
      <c r="I143" s="5">
        <f t="shared" si="12"/>
        <v>1.8700000000000001E-2</v>
      </c>
      <c r="J143" s="6">
        <f t="shared" si="13"/>
        <v>-4.014854521543041E-2</v>
      </c>
      <c r="K143" s="7">
        <f t="shared" si="14"/>
        <v>-2.219932301095906E-2</v>
      </c>
    </row>
    <row r="144" spans="1:11" x14ac:dyDescent="0.25">
      <c r="A144" s="11">
        <v>19903</v>
      </c>
      <c r="B144" s="5">
        <v>1.67E-2</v>
      </c>
      <c r="C144" s="6">
        <v>-1.5E-3</v>
      </c>
      <c r="D144" s="7">
        <v>1.52E-2</v>
      </c>
      <c r="I144" s="5">
        <f t="shared" si="12"/>
        <v>1.67E-2</v>
      </c>
      <c r="J144" s="6">
        <f t="shared" si="13"/>
        <v>-2.7077166345678143E-3</v>
      </c>
      <c r="K144" s="7">
        <f t="shared" si="14"/>
        <v>1.3947064497634942E-2</v>
      </c>
    </row>
    <row r="145" spans="1:11" x14ac:dyDescent="0.25">
      <c r="A145" s="11">
        <v>19902</v>
      </c>
      <c r="B145" s="5">
        <v>1.7399999999999999E-2</v>
      </c>
      <c r="C145" s="6">
        <v>-6.9999999999999999E-4</v>
      </c>
      <c r="D145" s="7">
        <v>1.6799999999999999E-2</v>
      </c>
      <c r="I145" s="5">
        <f t="shared" si="12"/>
        <v>1.7399999999999999E-2</v>
      </c>
      <c r="J145" s="6">
        <f t="shared" si="13"/>
        <v>-1.0361733076542512E-2</v>
      </c>
      <c r="K145" s="7">
        <f t="shared" si="14"/>
        <v>6.8579727679256575E-3</v>
      </c>
    </row>
    <row r="146" spans="1:11" x14ac:dyDescent="0.25">
      <c r="A146" s="11">
        <v>19901</v>
      </c>
      <c r="B146" s="5">
        <v>1.7100000000000001E-2</v>
      </c>
      <c r="C146" s="6">
        <v>5.7000000000000002E-3</v>
      </c>
      <c r="D146" s="7">
        <v>2.2800000000000001E-2</v>
      </c>
      <c r="I146" s="5">
        <f t="shared" si="12"/>
        <v>1.7100000000000001E-2</v>
      </c>
      <c r="J146" s="6">
        <f t="shared" si="13"/>
        <v>-1.5462998074068854E-3</v>
      </c>
      <c r="K146" s="7">
        <f t="shared" si="14"/>
        <v>1.5527258465886318E-2</v>
      </c>
    </row>
    <row r="147" spans="1:11" x14ac:dyDescent="0.25">
      <c r="A147" s="11">
        <v>19894</v>
      </c>
      <c r="B147" s="5">
        <v>1.78E-2</v>
      </c>
      <c r="C147" s="6">
        <v>1.0500000000000001E-2</v>
      </c>
      <c r="D147" s="7">
        <v>2.8299999999999999E-2</v>
      </c>
      <c r="I147" s="5">
        <f t="shared" si="12"/>
        <v>1.78E-2</v>
      </c>
      <c r="J147" s="6">
        <f t="shared" si="13"/>
        <v>1.0650964579320979E-2</v>
      </c>
      <c r="K147" s="7">
        <f t="shared" si="14"/>
        <v>2.8640551748832843E-2</v>
      </c>
    </row>
    <row r="148" spans="1:11" x14ac:dyDescent="0.25">
      <c r="A148" s="11">
        <v>19893</v>
      </c>
      <c r="B148" s="5">
        <v>1.7299999999999999E-2</v>
      </c>
      <c r="C148" s="6">
        <v>1.04E-2</v>
      </c>
      <c r="D148" s="7">
        <v>2.7699999999999999E-2</v>
      </c>
      <c r="I148" s="5">
        <f t="shared" si="12"/>
        <v>1.7299999999999999E-2</v>
      </c>
      <c r="J148" s="6">
        <f t="shared" si="13"/>
        <v>3.7120730539812886E-2</v>
      </c>
      <c r="K148" s="7">
        <f t="shared" si="14"/>
        <v>5.5062919178151759E-2</v>
      </c>
    </row>
    <row r="149" spans="1:11" x14ac:dyDescent="0.25">
      <c r="A149" s="11">
        <v>19892</v>
      </c>
      <c r="B149" s="5">
        <v>1.7000000000000001E-2</v>
      </c>
      <c r="C149" s="6">
        <v>-7.3000000000000001E-3</v>
      </c>
      <c r="D149" s="7">
        <v>9.7000000000000003E-3</v>
      </c>
      <c r="I149" s="5">
        <f t="shared" si="12"/>
        <v>1.7000000000000001E-2</v>
      </c>
      <c r="J149" s="6">
        <f t="shared" si="13"/>
        <v>-2.2094528773455722E-2</v>
      </c>
      <c r="K149" s="7">
        <f t="shared" si="14"/>
        <v>-5.4701357626045777E-3</v>
      </c>
    </row>
    <row r="150" spans="1:11" x14ac:dyDescent="0.25">
      <c r="A150" s="11">
        <v>19891</v>
      </c>
      <c r="B150" s="5">
        <v>1.77E-2</v>
      </c>
      <c r="C150" s="6">
        <v>2.5000000000000001E-3</v>
      </c>
      <c r="D150" s="7">
        <v>2.0199999999999999E-2</v>
      </c>
      <c r="I150" s="5">
        <f t="shared" si="12"/>
        <v>1.77E-2</v>
      </c>
      <c r="J150" s="6">
        <f t="shared" si="13"/>
        <v>2.9528937379629298E-3</v>
      </c>
      <c r="K150" s="7">
        <f t="shared" si="14"/>
        <v>2.0705159957125074E-2</v>
      </c>
    </row>
    <row r="151" spans="1:11" x14ac:dyDescent="0.25">
      <c r="A151" s="11">
        <v>19884</v>
      </c>
      <c r="B151" s="5">
        <v>1.89E-2</v>
      </c>
      <c r="C151" s="6">
        <v>2.2000000000000001E-3</v>
      </c>
      <c r="D151" s="7">
        <v>2.1000000000000001E-2</v>
      </c>
      <c r="I151" s="5">
        <f t="shared" si="12"/>
        <v>1.89E-2</v>
      </c>
      <c r="J151" s="6">
        <f t="shared" si="13"/>
        <v>-2.406783680184995E-2</v>
      </c>
      <c r="K151" s="7">
        <f t="shared" si="14"/>
        <v>-5.6227189174050674E-3</v>
      </c>
    </row>
    <row r="152" spans="1:11" x14ac:dyDescent="0.25">
      <c r="A152" s="11">
        <v>19883</v>
      </c>
      <c r="B152" s="5">
        <v>1.8800000000000001E-2</v>
      </c>
      <c r="C152" s="6">
        <v>1.9599999999999999E-2</v>
      </c>
      <c r="D152" s="7">
        <v>3.8399999999999997E-2</v>
      </c>
      <c r="I152" s="5">
        <f t="shared" si="12"/>
        <v>1.8800000000000001E-2</v>
      </c>
      <c r="J152" s="6">
        <f t="shared" si="13"/>
        <v>4.6471695119133863E-2</v>
      </c>
      <c r="K152" s="7">
        <f t="shared" si="14"/>
        <v>6.6145362987373613E-2</v>
      </c>
    </row>
    <row r="153" spans="1:11" x14ac:dyDescent="0.25">
      <c r="A153" s="11">
        <v>19882</v>
      </c>
      <c r="B153" s="5">
        <v>1.9400000000000001E-2</v>
      </c>
      <c r="C153" s="6">
        <v>1.8E-3</v>
      </c>
      <c r="D153" s="7">
        <v>2.1299999999999999E-2</v>
      </c>
      <c r="I153" s="5">
        <f t="shared" si="12"/>
        <v>1.9400000000000001E-2</v>
      </c>
      <c r="J153" s="6">
        <f t="shared" si="13"/>
        <v>3.6115749518517209E-3</v>
      </c>
      <c r="K153" s="7">
        <f t="shared" si="14"/>
        <v>2.3081639505917684E-2</v>
      </c>
    </row>
    <row r="154" spans="1:11" x14ac:dyDescent="0.25">
      <c r="A154" s="11">
        <v>19881</v>
      </c>
      <c r="B154" s="5">
        <v>1.83E-2</v>
      </c>
      <c r="C154" s="6">
        <v>5.9999999999999995E-4</v>
      </c>
      <c r="D154" s="7">
        <v>1.9E-2</v>
      </c>
      <c r="I154" s="5">
        <f t="shared" si="12"/>
        <v>1.83E-2</v>
      </c>
      <c r="J154" s="6">
        <f t="shared" si="13"/>
        <v>-7.8540164419746983E-3</v>
      </c>
      <c r="K154" s="7">
        <f t="shared" si="14"/>
        <v>1.0302255057137222E-2</v>
      </c>
    </row>
    <row r="155" spans="1:11" x14ac:dyDescent="0.25">
      <c r="A155" s="11">
        <v>19874</v>
      </c>
      <c r="B155" s="5">
        <v>1.8800000000000001E-2</v>
      </c>
      <c r="C155" s="6">
        <v>6.1999999999999998E-3</v>
      </c>
      <c r="D155" s="7">
        <v>2.5000000000000001E-2</v>
      </c>
      <c r="I155" s="5">
        <f t="shared" si="12"/>
        <v>1.8800000000000001E-2</v>
      </c>
      <c r="J155" s="6">
        <f t="shared" si="13"/>
        <v>1.1181831117592233E-2</v>
      </c>
      <c r="K155" s="7">
        <f t="shared" si="14"/>
        <v>3.0192049542602906E-2</v>
      </c>
    </row>
    <row r="156" spans="1:11" x14ac:dyDescent="0.25">
      <c r="A156" s="11">
        <v>19873</v>
      </c>
      <c r="B156" s="5">
        <v>1.9900000000000001E-2</v>
      </c>
      <c r="C156" s="6">
        <v>2.8999999999999998E-3</v>
      </c>
      <c r="D156" s="7">
        <v>2.2800000000000001E-2</v>
      </c>
      <c r="I156" s="5">
        <f t="shared" si="12"/>
        <v>1.9900000000000001E-2</v>
      </c>
      <c r="J156" s="6">
        <f t="shared" si="13"/>
        <v>2.6903368112035305E-2</v>
      </c>
      <c r="K156" s="7">
        <f t="shared" si="14"/>
        <v>4.7338745137464722E-2</v>
      </c>
    </row>
    <row r="157" spans="1:11" x14ac:dyDescent="0.25">
      <c r="A157" s="11">
        <v>19872</v>
      </c>
      <c r="B157" s="5">
        <v>1.9099999999999999E-2</v>
      </c>
      <c r="C157" s="6">
        <v>-1.2999999999999999E-2</v>
      </c>
      <c r="D157" s="7">
        <v>6.1000000000000004E-3</v>
      </c>
      <c r="I157" s="5">
        <f t="shared" si="12"/>
        <v>1.9099999999999999E-2</v>
      </c>
      <c r="J157" s="6">
        <f t="shared" si="13"/>
        <v>-2.6133918400924976E-2</v>
      </c>
      <c r="K157" s="7">
        <f t="shared" si="14"/>
        <v>-7.5330762423827524E-3</v>
      </c>
    </row>
    <row r="158" spans="1:11" x14ac:dyDescent="0.25">
      <c r="A158" s="11">
        <v>19871</v>
      </c>
      <c r="B158" s="5">
        <v>1.8200000000000001E-2</v>
      </c>
      <c r="C158" s="6">
        <v>-4.3E-3</v>
      </c>
      <c r="D158" s="7">
        <v>1.3899999999999999E-2</v>
      </c>
      <c r="I158" s="5">
        <f t="shared" si="12"/>
        <v>1.8200000000000001E-2</v>
      </c>
      <c r="J158" s="6">
        <f t="shared" si="13"/>
        <v>-3.0718801381170932E-2</v>
      </c>
      <c r="K158" s="7">
        <f t="shared" si="14"/>
        <v>-1.3077883566308235E-2</v>
      </c>
    </row>
    <row r="159" spans="1:11" x14ac:dyDescent="0.25">
      <c r="A159" s="11">
        <v>19864</v>
      </c>
      <c r="B159" s="5">
        <v>1.5699999999999999E-2</v>
      </c>
      <c r="C159" s="6">
        <v>1.32E-2</v>
      </c>
      <c r="D159" s="7">
        <v>2.8899999999999999E-2</v>
      </c>
      <c r="I159" s="5">
        <f t="shared" si="12"/>
        <v>1.5699999999999999E-2</v>
      </c>
      <c r="J159" s="6">
        <f t="shared" si="13"/>
        <v>5.2601755202774929E-2</v>
      </c>
      <c r="K159" s="7">
        <f t="shared" si="14"/>
        <v>6.9127602759458506E-2</v>
      </c>
    </row>
    <row r="160" spans="1:11" x14ac:dyDescent="0.25">
      <c r="A160" s="11">
        <v>19863</v>
      </c>
      <c r="B160" s="5">
        <v>2.29E-2</v>
      </c>
      <c r="C160" s="6">
        <v>-1.29E-2</v>
      </c>
      <c r="D160" s="7">
        <v>0.01</v>
      </c>
      <c r="I160" s="5">
        <f t="shared" si="12"/>
        <v>2.29E-2</v>
      </c>
      <c r="J160" s="6">
        <f t="shared" si="13"/>
        <v>-2.2108839338579586E-2</v>
      </c>
      <c r="K160" s="7">
        <f t="shared" si="14"/>
        <v>2.8486824056694893E-4</v>
      </c>
    </row>
    <row r="161" spans="1:11" x14ac:dyDescent="0.25">
      <c r="A161" s="11">
        <v>19862</v>
      </c>
      <c r="B161" s="5">
        <v>1.8599999999999998E-2</v>
      </c>
      <c r="C161" s="6">
        <v>-6.7999999999999996E-3</v>
      </c>
      <c r="D161" s="7">
        <v>1.18E-2</v>
      </c>
      <c r="I161" s="5">
        <f t="shared" si="12"/>
        <v>1.8599999999999998E-2</v>
      </c>
      <c r="J161" s="6">
        <f t="shared" si="13"/>
        <v>-2.0386812138887909E-2</v>
      </c>
      <c r="K161" s="7">
        <f t="shared" si="14"/>
        <v>-2.1660068446712755E-3</v>
      </c>
    </row>
    <row r="162" spans="1:11" x14ac:dyDescent="0.25">
      <c r="A162" s="11">
        <v>19861</v>
      </c>
      <c r="B162" s="5">
        <v>1.6400000000000001E-2</v>
      </c>
      <c r="C162" s="6">
        <v>2.2000000000000001E-3</v>
      </c>
      <c r="D162" s="7">
        <v>1.8599999999999998E-2</v>
      </c>
      <c r="I162" s="5">
        <f t="shared" si="12"/>
        <v>1.6400000000000001E-2</v>
      </c>
      <c r="J162" s="6">
        <f t="shared" si="13"/>
        <v>-2.3463978484566043E-2</v>
      </c>
      <c r="K162" s="7">
        <f t="shared" si="14"/>
        <v>-7.4487877317129803E-3</v>
      </c>
    </row>
    <row r="163" spans="1:11" x14ac:dyDescent="0.25">
      <c r="A163" s="11">
        <v>19854</v>
      </c>
      <c r="B163" s="5">
        <v>2.07E-2</v>
      </c>
      <c r="C163" s="6">
        <v>1.9199999999999998E-2</v>
      </c>
      <c r="D163" s="7">
        <v>3.9899999999999998E-2</v>
      </c>
      <c r="I163" s="5">
        <f t="shared" si="12"/>
        <v>2.07E-2</v>
      </c>
      <c r="J163" s="6">
        <f t="shared" si="13"/>
        <v>2.5993406069443947E-2</v>
      </c>
      <c r="K163" s="7">
        <f t="shared" si="14"/>
        <v>4.7231469575081508E-2</v>
      </c>
    </row>
    <row r="164" spans="1:11" x14ac:dyDescent="0.25">
      <c r="A164" s="11">
        <v>19853</v>
      </c>
      <c r="B164" s="5">
        <v>2.0899999999999998E-2</v>
      </c>
      <c r="C164" s="6">
        <v>1.47E-2</v>
      </c>
      <c r="D164" s="7">
        <v>3.56E-2</v>
      </c>
      <c r="I164" s="5">
        <f t="shared" si="12"/>
        <v>2.0899999999999998E-2</v>
      </c>
      <c r="J164" s="6">
        <f t="shared" si="13"/>
        <v>3.4174430732406003E-2</v>
      </c>
      <c r="K164" s="7">
        <f t="shared" si="14"/>
        <v>5.5788676334713072E-2</v>
      </c>
    </row>
    <row r="165" spans="1:11" x14ac:dyDescent="0.25">
      <c r="A165" s="11">
        <v>19852</v>
      </c>
      <c r="B165" s="5">
        <v>1.7399999999999999E-2</v>
      </c>
      <c r="C165" s="6">
        <v>1.8E-3</v>
      </c>
      <c r="D165" s="7">
        <v>1.9300000000000001E-2</v>
      </c>
      <c r="I165" s="5">
        <f t="shared" si="12"/>
        <v>1.7399999999999999E-2</v>
      </c>
      <c r="J165" s="6">
        <f t="shared" si="13"/>
        <v>5.876043641666372E-3</v>
      </c>
      <c r="K165" s="7">
        <f t="shared" si="14"/>
        <v>2.3378286801031267E-2</v>
      </c>
    </row>
    <row r="166" spans="1:11" x14ac:dyDescent="0.25">
      <c r="A166" s="11">
        <v>19851</v>
      </c>
      <c r="B166" s="5">
        <v>1.7500000000000002E-2</v>
      </c>
      <c r="C166" s="6">
        <v>-8.9999999999999998E-4</v>
      </c>
      <c r="D166" s="7">
        <v>1.66E-2</v>
      </c>
      <c r="I166" s="5">
        <f t="shared" si="12"/>
        <v>1.7500000000000002E-2</v>
      </c>
      <c r="J166" s="6">
        <f t="shared" si="13"/>
        <v>-1.2222343449073256E-2</v>
      </c>
      <c r="K166" s="7">
        <f t="shared" si="14"/>
        <v>5.0637655405680881E-3</v>
      </c>
    </row>
    <row r="167" spans="1:11" x14ac:dyDescent="0.25">
      <c r="A167" s="11">
        <v>19844</v>
      </c>
      <c r="B167" s="5">
        <v>1.9E-2</v>
      </c>
      <c r="C167" s="6">
        <v>6.6E-3</v>
      </c>
      <c r="D167" s="7">
        <v>2.5600000000000001E-2</v>
      </c>
      <c r="I167" s="5">
        <f t="shared" ref="I167:I194" si="15">+B167</f>
        <v>1.9E-2</v>
      </c>
      <c r="J167" s="6">
        <f t="shared" ref="J167:J194" si="16">(C167-($C$2*C168))/(1-$C$2)</f>
        <v>8.2606103725307457E-3</v>
      </c>
      <c r="K167" s="7">
        <f t="shared" ref="K167:K194" si="17">(1+I167)*(1+J167)-1</f>
        <v>2.741756196960865E-2</v>
      </c>
    </row>
    <row r="168" spans="1:11" x14ac:dyDescent="0.25">
      <c r="A168" s="11">
        <v>19843</v>
      </c>
      <c r="B168" s="5">
        <v>1.6199999999999999E-2</v>
      </c>
      <c r="C168" s="6">
        <v>5.4999999999999997E-3</v>
      </c>
      <c r="D168" s="7">
        <v>2.1600000000000001E-2</v>
      </c>
      <c r="I168" s="5">
        <f t="shared" si="15"/>
        <v>1.6199999999999999E-2</v>
      </c>
      <c r="J168" s="6">
        <f t="shared" si="16"/>
        <v>-4.3563488279317442E-2</v>
      </c>
      <c r="K168" s="7">
        <f t="shared" si="17"/>
        <v>-2.8069216789442408E-2</v>
      </c>
    </row>
    <row r="169" spans="1:11" x14ac:dyDescent="0.25">
      <c r="A169" s="11">
        <v>19842</v>
      </c>
      <c r="B169" s="5">
        <v>1.7299999999999999E-2</v>
      </c>
      <c r="C169" s="6">
        <v>3.7999999999999999E-2</v>
      </c>
      <c r="D169" s="7">
        <v>5.5300000000000002E-2</v>
      </c>
      <c r="I169" s="5">
        <f t="shared" si="15"/>
        <v>1.7299999999999999E-2</v>
      </c>
      <c r="J169" s="6">
        <f t="shared" si="16"/>
        <v>8.4044196692897907E-2</v>
      </c>
      <c r="K169" s="7">
        <f t="shared" si="17"/>
        <v>0.1027981612956852</v>
      </c>
    </row>
    <row r="170" spans="1:11" x14ac:dyDescent="0.25">
      <c r="A170" s="11">
        <v>19841</v>
      </c>
      <c r="B170" s="5">
        <v>1.55E-2</v>
      </c>
      <c r="C170" s="6">
        <v>7.4999999999999997E-3</v>
      </c>
      <c r="D170" s="7">
        <v>2.3099999999999999E-2</v>
      </c>
      <c r="I170" s="5">
        <f t="shared" si="15"/>
        <v>1.55E-2</v>
      </c>
      <c r="J170" s="6">
        <f t="shared" si="16"/>
        <v>-3.9902877906786691E-2</v>
      </c>
      <c r="K170" s="7">
        <f t="shared" si="17"/>
        <v>-2.5021372514341778E-2</v>
      </c>
    </row>
    <row r="171" spans="1:11" x14ac:dyDescent="0.25">
      <c r="A171" s="11">
        <v>19834</v>
      </c>
      <c r="B171" s="5">
        <v>1.5699999999999999E-2</v>
      </c>
      <c r="C171" s="6">
        <v>3.8899999999999997E-2</v>
      </c>
      <c r="D171" s="7">
        <v>5.4600000000000003E-2</v>
      </c>
      <c r="I171" s="5">
        <f t="shared" si="15"/>
        <v>1.5699999999999999E-2</v>
      </c>
      <c r="J171" s="6">
        <f t="shared" si="16"/>
        <v>3.5125885516975569E-2</v>
      </c>
      <c r="K171" s="7">
        <f t="shared" si="17"/>
        <v>5.1377361919592079E-2</v>
      </c>
    </row>
    <row r="172" spans="1:11" x14ac:dyDescent="0.25">
      <c r="A172" s="11">
        <v>19833</v>
      </c>
      <c r="B172" s="5">
        <v>1.7600000000000001E-2</v>
      </c>
      <c r="C172" s="6">
        <v>4.1399999999999999E-2</v>
      </c>
      <c r="D172" s="7">
        <v>5.8999999999999997E-2</v>
      </c>
      <c r="I172" s="5">
        <f t="shared" si="15"/>
        <v>1.7600000000000001E-2</v>
      </c>
      <c r="J172" s="6">
        <f t="shared" si="16"/>
        <v>7.5216065767898799E-2</v>
      </c>
      <c r="K172" s="7">
        <f t="shared" si="17"/>
        <v>9.4139868525414006E-2</v>
      </c>
    </row>
    <row r="173" spans="1:11" x14ac:dyDescent="0.25">
      <c r="A173" s="11">
        <v>19832</v>
      </c>
      <c r="B173" s="5">
        <v>1.7000000000000001E-2</v>
      </c>
      <c r="C173" s="6">
        <v>1.9E-2</v>
      </c>
      <c r="D173" s="7">
        <v>3.5999999999999997E-2</v>
      </c>
      <c r="I173" s="5">
        <f t="shared" si="15"/>
        <v>1.7000000000000001E-2</v>
      </c>
      <c r="J173" s="6">
        <f t="shared" si="16"/>
        <v>3.3190670456171814E-2</v>
      </c>
      <c r="K173" s="7">
        <f t="shared" si="17"/>
        <v>5.0754911853926554E-2</v>
      </c>
    </row>
    <row r="174" spans="1:11" x14ac:dyDescent="0.25">
      <c r="A174" s="11">
        <v>19831</v>
      </c>
      <c r="B174" s="5">
        <v>1.7600000000000001E-2</v>
      </c>
      <c r="C174" s="6">
        <v>9.5999999999999992E-3</v>
      </c>
      <c r="D174" s="7">
        <v>2.7199999999999998E-2</v>
      </c>
      <c r="I174" s="5">
        <f t="shared" si="15"/>
        <v>1.7600000000000001E-2</v>
      </c>
      <c r="J174" s="6">
        <f t="shared" si="16"/>
        <v>-1.0025395311726977E-2</v>
      </c>
      <c r="K174" s="7">
        <f t="shared" si="17"/>
        <v>7.3981577307866697E-3</v>
      </c>
    </row>
    <row r="175" spans="1:11" x14ac:dyDescent="0.25">
      <c r="A175" s="11">
        <v>19824</v>
      </c>
      <c r="B175" s="5">
        <v>1.7000000000000001E-2</v>
      </c>
      <c r="C175" s="6">
        <v>2.2599999999999999E-2</v>
      </c>
      <c r="D175" s="7">
        <v>3.9600000000000003E-2</v>
      </c>
      <c r="I175" s="5">
        <f t="shared" si="15"/>
        <v>1.7000000000000001E-2</v>
      </c>
      <c r="J175" s="6">
        <f t="shared" si="16"/>
        <v>3.2865591393826415E-2</v>
      </c>
      <c r="K175" s="7">
        <f t="shared" si="17"/>
        <v>5.0424306447521383E-2</v>
      </c>
    </row>
    <row r="176" spans="1:11" x14ac:dyDescent="0.25">
      <c r="A176" s="11">
        <v>19823</v>
      </c>
      <c r="B176" s="5">
        <v>1.8100000000000002E-2</v>
      </c>
      <c r="C176" s="6">
        <v>1.5800000000000002E-2</v>
      </c>
      <c r="D176" s="7">
        <v>3.39E-2</v>
      </c>
      <c r="I176" s="5">
        <f t="shared" si="15"/>
        <v>1.8100000000000002E-2</v>
      </c>
      <c r="J176" s="6">
        <f t="shared" si="16"/>
        <v>3.118975337037957E-3</v>
      </c>
      <c r="K176" s="7">
        <f t="shared" si="17"/>
        <v>2.1275428790638262E-2</v>
      </c>
    </row>
    <row r="177" spans="1:11" x14ac:dyDescent="0.25">
      <c r="A177" s="11">
        <v>19822</v>
      </c>
      <c r="B177" s="5">
        <v>1.8599999999999998E-2</v>
      </c>
      <c r="C177" s="6">
        <v>2.4199999999999999E-2</v>
      </c>
      <c r="D177" s="7">
        <v>4.2900000000000001E-2</v>
      </c>
      <c r="I177" s="5">
        <f t="shared" si="15"/>
        <v>1.8599999999999998E-2</v>
      </c>
      <c r="J177" s="6">
        <f t="shared" si="16"/>
        <v>4.3825395311726981E-2</v>
      </c>
      <c r="K177" s="7">
        <f t="shared" si="17"/>
        <v>6.3240547664525026E-2</v>
      </c>
    </row>
    <row r="178" spans="1:11" x14ac:dyDescent="0.25">
      <c r="A178" s="11">
        <v>19821</v>
      </c>
      <c r="B178" s="5">
        <v>1.9800000000000002E-2</v>
      </c>
      <c r="C178" s="6">
        <v>1.12E-2</v>
      </c>
      <c r="D178" s="7">
        <v>3.1E-2</v>
      </c>
      <c r="I178" s="5">
        <f t="shared" si="15"/>
        <v>1.9800000000000002E-2</v>
      </c>
      <c r="J178" s="6">
        <f t="shared" si="16"/>
        <v>-2.337088866450367E-2</v>
      </c>
      <c r="K178" s="7">
        <f t="shared" si="17"/>
        <v>-4.0336322600608154E-3</v>
      </c>
    </row>
    <row r="179" spans="1:11" x14ac:dyDescent="0.25">
      <c r="A179" s="11">
        <v>19814</v>
      </c>
      <c r="B179" s="5">
        <v>1.8599999999999998E-2</v>
      </c>
      <c r="C179" s="6">
        <v>3.4099999999999998E-2</v>
      </c>
      <c r="D179" s="7">
        <v>5.2699999999999997E-2</v>
      </c>
      <c r="I179" s="5">
        <f t="shared" si="15"/>
        <v>1.8599999999999998E-2</v>
      </c>
      <c r="J179" s="6">
        <f t="shared" si="16"/>
        <v>7.5162365575305673E-2</v>
      </c>
      <c r="K179" s="7">
        <f t="shared" si="17"/>
        <v>9.5160385575006279E-2</v>
      </c>
    </row>
    <row r="180" spans="1:11" x14ac:dyDescent="0.25">
      <c r="A180" s="11">
        <v>19813</v>
      </c>
      <c r="B180" s="5">
        <v>2.07E-2</v>
      </c>
      <c r="C180" s="6">
        <v>6.8999999999999999E-3</v>
      </c>
      <c r="D180" s="7">
        <v>2.76E-2</v>
      </c>
      <c r="I180" s="5">
        <f t="shared" si="15"/>
        <v>2.07E-2</v>
      </c>
      <c r="J180" s="6">
        <f t="shared" si="16"/>
        <v>-6.482289660488396E-4</v>
      </c>
      <c r="K180" s="7">
        <f t="shared" si="17"/>
        <v>2.0038352694353945E-2</v>
      </c>
    </row>
    <row r="181" spans="1:11" x14ac:dyDescent="0.25">
      <c r="A181" s="11">
        <v>19812</v>
      </c>
      <c r="B181" s="5">
        <v>1.7899999999999999E-2</v>
      </c>
      <c r="C181" s="6">
        <v>1.1900000000000001E-2</v>
      </c>
      <c r="D181" s="7">
        <v>2.98E-2</v>
      </c>
      <c r="I181" s="5">
        <f t="shared" si="15"/>
        <v>1.7899999999999999E-2</v>
      </c>
      <c r="J181" s="6">
        <f t="shared" si="16"/>
        <v>2.3826201766357163E-2</v>
      </c>
      <c r="K181" s="7">
        <f t="shared" si="17"/>
        <v>4.215269077797501E-2</v>
      </c>
    </row>
    <row r="182" spans="1:11" x14ac:dyDescent="0.25">
      <c r="A182" s="11">
        <v>19811</v>
      </c>
      <c r="B182" s="5">
        <v>1.7100000000000001E-2</v>
      </c>
      <c r="C182" s="6">
        <v>4.0000000000000001E-3</v>
      </c>
      <c r="D182" s="7">
        <v>2.1100000000000001E-2</v>
      </c>
      <c r="I182" s="5">
        <f t="shared" si="15"/>
        <v>1.7100000000000001E-2</v>
      </c>
      <c r="J182" s="6">
        <f t="shared" si="16"/>
        <v>-2.906124287129391E-2</v>
      </c>
      <c r="K182" s="7">
        <f t="shared" si="17"/>
        <v>-1.2458190124393087E-2</v>
      </c>
    </row>
    <row r="183" spans="1:11" x14ac:dyDescent="0.25">
      <c r="A183" s="11">
        <v>19804</v>
      </c>
      <c r="B183" s="5">
        <v>2.06E-2</v>
      </c>
      <c r="C183" s="6">
        <v>2.5899999999999999E-2</v>
      </c>
      <c r="D183" s="7">
        <v>4.65E-2</v>
      </c>
      <c r="I183" s="5">
        <f t="shared" si="15"/>
        <v>2.06E-2</v>
      </c>
      <c r="J183" s="6">
        <f t="shared" si="16"/>
        <v>-6.1044908160470812E-3</v>
      </c>
      <c r="K183" s="7">
        <f t="shared" si="17"/>
        <v>1.4369756673142442E-2</v>
      </c>
    </row>
    <row r="184" spans="1:11" x14ac:dyDescent="0.25">
      <c r="A184" s="11">
        <v>19803</v>
      </c>
      <c r="B184" s="5">
        <v>2.1000000000000001E-2</v>
      </c>
      <c r="C184" s="6">
        <v>4.7100000000000003E-2</v>
      </c>
      <c r="D184" s="7">
        <v>6.8099999999999994E-2</v>
      </c>
      <c r="I184" s="5">
        <f t="shared" si="15"/>
        <v>2.1000000000000001E-2</v>
      </c>
      <c r="J184" s="6">
        <f t="shared" si="16"/>
        <v>8.7558507258021778E-2</v>
      </c>
      <c r="K184" s="7">
        <f t="shared" si="17"/>
        <v>0.11039723591044015</v>
      </c>
    </row>
    <row r="185" spans="1:11" x14ac:dyDescent="0.25">
      <c r="A185" s="11">
        <v>19802</v>
      </c>
      <c r="B185" s="5">
        <v>2.01E-2</v>
      </c>
      <c r="C185" s="6">
        <v>2.0299999999999999E-2</v>
      </c>
      <c r="D185" s="7">
        <v>4.0300000000000002E-2</v>
      </c>
      <c r="I185" s="5">
        <f t="shared" si="15"/>
        <v>2.01E-2</v>
      </c>
      <c r="J185" s="6">
        <f t="shared" si="16"/>
        <v>5.1700632498763159E-2</v>
      </c>
      <c r="K185" s="7">
        <f t="shared" si="17"/>
        <v>7.2839815211988457E-2</v>
      </c>
    </row>
    <row r="186" spans="1:11" x14ac:dyDescent="0.25">
      <c r="A186" s="11">
        <v>19801</v>
      </c>
      <c r="B186" s="5">
        <v>2.12E-2</v>
      </c>
      <c r="C186" s="6">
        <v>-5.0000000000000001E-4</v>
      </c>
      <c r="D186" s="7">
        <v>2.07E-2</v>
      </c>
      <c r="I186" s="5">
        <f t="shared" si="15"/>
        <v>2.12E-2</v>
      </c>
      <c r="J186" s="6">
        <f t="shared" si="16"/>
        <v>-6.6320556583945867E-2</v>
      </c>
      <c r="K186" s="7">
        <f t="shared" si="17"/>
        <v>-4.6526552383525432E-2</v>
      </c>
    </row>
    <row r="187" spans="1:11" x14ac:dyDescent="0.25">
      <c r="A187" s="11">
        <v>19794</v>
      </c>
      <c r="B187" s="5">
        <v>2.0299999999999999E-2</v>
      </c>
      <c r="C187" s="6">
        <v>4.3099999999999999E-2</v>
      </c>
      <c r="D187" s="7">
        <v>6.3299999999999995E-2</v>
      </c>
      <c r="I187" s="5">
        <f t="shared" si="15"/>
        <v>2.0299999999999999E-2</v>
      </c>
      <c r="J187" s="6">
        <f t="shared" si="16"/>
        <v>-2.3022485742587827E-2</v>
      </c>
      <c r="K187" s="7">
        <f t="shared" si="17"/>
        <v>-3.1898422031623186E-3</v>
      </c>
    </row>
    <row r="188" spans="1:11" x14ac:dyDescent="0.25">
      <c r="A188" s="11">
        <v>19793</v>
      </c>
      <c r="B188" s="5">
        <v>2.0799999999999999E-2</v>
      </c>
      <c r="C188" s="6">
        <v>8.6900000000000005E-2</v>
      </c>
      <c r="D188" s="7">
        <v>0.1077</v>
      </c>
      <c r="I188" s="5">
        <f t="shared" si="15"/>
        <v>2.0799999999999999E-2</v>
      </c>
      <c r="J188" s="6">
        <f t="shared" si="16"/>
        <v>0.14743679630771167</v>
      </c>
      <c r="K188" s="7">
        <f t="shared" si="17"/>
        <v>0.17130348167091203</v>
      </c>
    </row>
    <row r="189" spans="1:11" x14ac:dyDescent="0.25">
      <c r="A189" s="11">
        <v>19792</v>
      </c>
      <c r="B189" s="5">
        <v>2.0199999999999999E-2</v>
      </c>
      <c r="C189" s="6">
        <v>4.6800000000000001E-2</v>
      </c>
      <c r="D189" s="7">
        <v>6.7000000000000004E-2</v>
      </c>
      <c r="I189" s="5">
        <f t="shared" si="15"/>
        <v>2.0199999999999999E-2</v>
      </c>
      <c r="J189" s="6">
        <f t="shared" si="16"/>
        <v>7.4879411753701677E-2</v>
      </c>
      <c r="K189" s="7">
        <f t="shared" si="17"/>
        <v>9.6591975871126445E-2</v>
      </c>
    </row>
    <row r="190" spans="1:11" x14ac:dyDescent="0.25">
      <c r="A190" s="11">
        <v>19791</v>
      </c>
      <c r="B190" s="5">
        <v>2.0199999999999999E-2</v>
      </c>
      <c r="C190" s="6">
        <v>2.8199999999999999E-2</v>
      </c>
      <c r="D190" s="7">
        <v>4.8399999999999999E-2</v>
      </c>
      <c r="I190" s="5">
        <f t="shared" si="15"/>
        <v>2.0199999999999999E-2</v>
      </c>
      <c r="J190" s="6">
        <f t="shared" si="16"/>
        <v>3.4540512331481026E-2</v>
      </c>
      <c r="K190" s="7">
        <f t="shared" si="17"/>
        <v>5.5438230680576961E-2</v>
      </c>
    </row>
    <row r="191" spans="1:11" x14ac:dyDescent="0.25">
      <c r="A191" s="11">
        <v>19784</v>
      </c>
      <c r="B191" s="5">
        <v>2.0199999999999999E-2</v>
      </c>
      <c r="C191" s="6">
        <v>2.4E-2</v>
      </c>
      <c r="D191" s="7">
        <v>4.4200000000000003E-2</v>
      </c>
      <c r="I191" s="5">
        <f t="shared" si="15"/>
        <v>2.0199999999999999E-2</v>
      </c>
      <c r="J191" s="6">
        <f t="shared" si="16"/>
        <v>2.4754822896604883E-2</v>
      </c>
      <c r="K191" s="7">
        <f t="shared" si="17"/>
        <v>4.5454870319116214E-2</v>
      </c>
    </row>
    <row r="192" spans="1:11" x14ac:dyDescent="0.25">
      <c r="A192" s="11">
        <v>19783</v>
      </c>
      <c r="B192" s="5">
        <v>2.3099999999999999E-2</v>
      </c>
      <c r="C192" s="6">
        <v>2.35E-2</v>
      </c>
      <c r="D192" s="7">
        <v>4.6600000000000003E-2</v>
      </c>
      <c r="I192" s="5">
        <f t="shared" si="15"/>
        <v>2.3099999999999999E-2</v>
      </c>
      <c r="J192" s="6">
        <f t="shared" si="16"/>
        <v>3.4067520552468374E-2</v>
      </c>
      <c r="K192" s="7">
        <f t="shared" si="17"/>
        <v>5.7954480277230269E-2</v>
      </c>
    </row>
    <row r="193" spans="1:11" x14ac:dyDescent="0.25">
      <c r="A193" s="11">
        <v>19782</v>
      </c>
      <c r="B193" s="5">
        <v>2.0899999999999998E-2</v>
      </c>
      <c r="C193" s="6">
        <v>1.6500000000000001E-2</v>
      </c>
      <c r="D193" s="7">
        <v>3.7400000000000003E-2</v>
      </c>
      <c r="I193" s="5">
        <f t="shared" si="15"/>
        <v>2.0899999999999998E-2</v>
      </c>
      <c r="J193" s="6">
        <f t="shared" si="16"/>
        <v>2.4350158124690796E-2</v>
      </c>
      <c r="K193" s="7">
        <f t="shared" si="17"/>
        <v>4.5759076429496615E-2</v>
      </c>
    </row>
    <row r="194" spans="1:11" x14ac:dyDescent="0.25">
      <c r="A194" s="11">
        <v>19781</v>
      </c>
      <c r="B194" s="8">
        <v>2.0299999999999999E-2</v>
      </c>
      <c r="C194" s="9">
        <v>1.1299999999999999E-2</v>
      </c>
      <c r="D194" s="10">
        <v>3.1600000000000003E-2</v>
      </c>
      <c r="I194" s="8">
        <f t="shared" si="15"/>
        <v>2.0299999999999999E-2</v>
      </c>
      <c r="J194" s="9">
        <f t="shared" si="16"/>
        <v>2.835899746327037E-2</v>
      </c>
      <c r="K194" s="10">
        <f t="shared" si="17"/>
        <v>4.9234685111774645E-2</v>
      </c>
    </row>
  </sheetData>
  <mergeCells count="8">
    <mergeCell ref="I5:K5"/>
    <mergeCell ref="M3:N3"/>
    <mergeCell ref="M4:N4"/>
    <mergeCell ref="A2:B2"/>
    <mergeCell ref="A1:B1"/>
    <mergeCell ref="B5:D5"/>
    <mergeCell ref="F3:G3"/>
    <mergeCell ref="F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4"/>
  <sheetViews>
    <sheetView tabSelected="1" workbookViewId="0">
      <selection sqref="A1:B1"/>
    </sheetView>
  </sheetViews>
  <sheetFormatPr defaultRowHeight="15" x14ac:dyDescent="0.25"/>
  <cols>
    <col min="1" max="4" width="12.7109375" customWidth="1"/>
    <col min="5" max="5" width="4.7109375" customWidth="1"/>
    <col min="6" max="7" width="12.7109375" customWidth="1"/>
    <col min="8" max="8" width="4.7109375" customWidth="1"/>
    <col min="9" max="11" width="12.7109375" customWidth="1"/>
    <col min="12" max="12" width="4.7109375" customWidth="1"/>
    <col min="13" max="14" width="12.7109375" customWidth="1"/>
  </cols>
  <sheetData>
    <row r="1" spans="1:14" x14ac:dyDescent="0.25">
      <c r="A1" s="41" t="s">
        <v>17</v>
      </c>
      <c r="B1" s="40"/>
      <c r="C1" s="15" t="s">
        <v>5</v>
      </c>
      <c r="D1" s="13"/>
    </row>
    <row r="2" spans="1:14" x14ac:dyDescent="0.25">
      <c r="A2" s="39" t="s">
        <v>18</v>
      </c>
      <c r="B2" s="40"/>
      <c r="C2" s="18">
        <f>CORREL(C7:C86,C9:C88)</f>
        <v>0.64660393253800508</v>
      </c>
      <c r="D2" s="17"/>
    </row>
    <row r="3" spans="1:14" x14ac:dyDescent="0.25">
      <c r="F3" s="36" t="s">
        <v>1</v>
      </c>
      <c r="G3" s="35"/>
      <c r="M3" s="36" t="s">
        <v>19</v>
      </c>
      <c r="N3" s="35"/>
    </row>
    <row r="4" spans="1:14" x14ac:dyDescent="0.25">
      <c r="F4" s="37">
        <f t="array" ref="F4">+(STDEV(D7:D86+1)*SQRT(4))</f>
        <v>6.5625507351866424E-2</v>
      </c>
      <c r="G4" s="38"/>
      <c r="M4" s="42">
        <f t="array" ref="M4">+(STDEV(K7:K86+1)*SQRT(4))</f>
        <v>0.10959466277443264</v>
      </c>
      <c r="N4" s="38"/>
    </row>
    <row r="5" spans="1:14" x14ac:dyDescent="0.25">
      <c r="B5" s="33" t="s">
        <v>20</v>
      </c>
      <c r="C5" s="34"/>
      <c r="D5" s="35"/>
      <c r="I5" s="33" t="s">
        <v>21</v>
      </c>
      <c r="J5" s="34"/>
      <c r="K5" s="35"/>
    </row>
    <row r="6" spans="1:14" x14ac:dyDescent="0.25">
      <c r="B6" s="2" t="s">
        <v>22</v>
      </c>
      <c r="C6" s="3" t="s">
        <v>23</v>
      </c>
      <c r="D6" s="4" t="s">
        <v>24</v>
      </c>
      <c r="I6" s="12" t="s">
        <v>22</v>
      </c>
      <c r="J6" s="13" t="s">
        <v>23</v>
      </c>
      <c r="K6" s="14" t="s">
        <v>24</v>
      </c>
    </row>
    <row r="7" spans="1:14" x14ac:dyDescent="0.25">
      <c r="A7">
        <v>20244</v>
      </c>
      <c r="B7" s="5">
        <v>9.7999999999999997E-3</v>
      </c>
      <c r="C7" s="6">
        <v>1.9E-3</v>
      </c>
      <c r="D7" s="7">
        <v>1.17E-2</v>
      </c>
      <c r="I7" s="5">
        <f t="shared" ref="I7:I38" si="0">+B7</f>
        <v>9.7999999999999997E-3</v>
      </c>
      <c r="J7" s="6">
        <f t="shared" ref="J7:J38" si="1">(C7-($C$2*C8))/(1-$C$2)</f>
        <v>3.9126548970958679E-3</v>
      </c>
      <c r="K7" s="7">
        <f t="shared" ref="K7:K38" si="2">(1+I7)*(1+J7)-1</f>
        <v>1.3750998915087465E-2</v>
      </c>
    </row>
    <row r="8" spans="1:14" x14ac:dyDescent="0.25">
      <c r="A8">
        <v>20243</v>
      </c>
      <c r="B8" s="5">
        <v>0.01</v>
      </c>
      <c r="C8" s="6">
        <v>8.0000000000000004E-4</v>
      </c>
      <c r="D8" s="7">
        <v>1.0800000000000001E-2</v>
      </c>
      <c r="I8" s="5">
        <f t="shared" si="0"/>
        <v>0.01</v>
      </c>
      <c r="J8" s="6">
        <f t="shared" si="1"/>
        <v>1.6535301922749508E-2</v>
      </c>
      <c r="K8" s="7">
        <f t="shared" si="2"/>
        <v>2.6700654941977042E-2</v>
      </c>
    </row>
    <row r="9" spans="1:14" x14ac:dyDescent="0.25">
      <c r="A9">
        <v>20242</v>
      </c>
      <c r="B9" s="5">
        <v>9.7999999999999997E-3</v>
      </c>
      <c r="C9" s="6">
        <v>-7.7999999999999996E-3</v>
      </c>
      <c r="D9" s="7">
        <v>2E-3</v>
      </c>
      <c r="I9" s="5">
        <f t="shared" si="0"/>
        <v>9.7999999999999997E-3</v>
      </c>
      <c r="J9" s="6">
        <f t="shared" si="1"/>
        <v>-6.7021882379477088E-3</v>
      </c>
      <c r="K9" s="7">
        <f t="shared" si="2"/>
        <v>3.0321303173204139E-3</v>
      </c>
    </row>
    <row r="10" spans="1:14" x14ac:dyDescent="0.25">
      <c r="A10">
        <v>20241</v>
      </c>
      <c r="B10" s="5">
        <v>9.5999999999999992E-3</v>
      </c>
      <c r="C10" s="6">
        <v>-8.3999999999999995E-3</v>
      </c>
      <c r="D10" s="7">
        <v>1.2999999999999999E-3</v>
      </c>
      <c r="I10" s="5">
        <f t="shared" si="0"/>
        <v>9.5999999999999992E-3</v>
      </c>
      <c r="J10" s="6">
        <f t="shared" si="1"/>
        <v>3.4963564601065505E-2</v>
      </c>
      <c r="K10" s="7">
        <f t="shared" si="2"/>
        <v>4.4899214821235711E-2</v>
      </c>
    </row>
    <row r="11" spans="1:14" x14ac:dyDescent="0.25">
      <c r="A11">
        <v>20234</v>
      </c>
      <c r="B11" s="5">
        <v>9.1999999999999998E-3</v>
      </c>
      <c r="C11" s="6">
        <v>-3.2099999999999997E-2</v>
      </c>
      <c r="D11" s="7">
        <v>-2.29E-2</v>
      </c>
      <c r="I11" s="5">
        <f t="shared" si="0"/>
        <v>9.1999999999999998E-3</v>
      </c>
      <c r="J11" s="6">
        <f t="shared" si="1"/>
        <v>-6.997450579080404E-2</v>
      </c>
      <c r="K11" s="7">
        <f t="shared" si="2"/>
        <v>-6.1418271244079281E-2</v>
      </c>
    </row>
    <row r="12" spans="1:14" x14ac:dyDescent="0.25">
      <c r="A12">
        <v>20233</v>
      </c>
      <c r="B12" s="5">
        <v>8.8000000000000005E-3</v>
      </c>
      <c r="C12" s="6">
        <v>-1.14E-2</v>
      </c>
      <c r="D12" s="7">
        <v>-2.5999999999999999E-3</v>
      </c>
      <c r="I12" s="5">
        <f t="shared" si="0"/>
        <v>8.8000000000000005E-3</v>
      </c>
      <c r="J12" s="6">
        <f t="shared" si="1"/>
        <v>-2.983443157599101E-3</v>
      </c>
      <c r="K12" s="7">
        <f t="shared" si="2"/>
        <v>5.7903025426138122E-3</v>
      </c>
    </row>
    <row r="13" spans="1:14" x14ac:dyDescent="0.25">
      <c r="A13">
        <v>20232</v>
      </c>
      <c r="B13" s="5">
        <v>8.6E-3</v>
      </c>
      <c r="C13" s="6">
        <v>-1.6E-2</v>
      </c>
      <c r="D13" s="7">
        <v>-7.4000000000000003E-3</v>
      </c>
      <c r="I13" s="5">
        <f t="shared" si="0"/>
        <v>8.6E-3</v>
      </c>
      <c r="J13" s="6">
        <f t="shared" si="1"/>
        <v>-1.5268125491965136E-2</v>
      </c>
      <c r="K13" s="7">
        <f t="shared" si="2"/>
        <v>-6.7994313711960963E-3</v>
      </c>
    </row>
    <row r="14" spans="1:14" x14ac:dyDescent="0.25">
      <c r="A14">
        <v>20231</v>
      </c>
      <c r="B14" s="5">
        <v>8.3999999999999995E-3</v>
      </c>
      <c r="C14" s="6">
        <v>-1.6400000000000001E-2</v>
      </c>
      <c r="D14" s="7">
        <v>-8.0999999999999996E-3</v>
      </c>
      <c r="I14" s="5">
        <f t="shared" si="0"/>
        <v>8.3999999999999995E-3</v>
      </c>
      <c r="J14" s="6">
        <f t="shared" si="1"/>
        <v>3.2635592038335673E-2</v>
      </c>
      <c r="K14" s="7">
        <f t="shared" si="2"/>
        <v>4.1309731011457629E-2</v>
      </c>
    </row>
    <row r="15" spans="1:14" x14ac:dyDescent="0.25">
      <c r="A15">
        <v>20224</v>
      </c>
      <c r="B15" s="5">
        <v>7.7000000000000002E-3</v>
      </c>
      <c r="C15" s="6">
        <v>-4.3200000000000002E-2</v>
      </c>
      <c r="D15" s="7">
        <v>-3.5499999999999997E-2</v>
      </c>
      <c r="I15" s="5">
        <f t="shared" si="0"/>
        <v>7.7000000000000002E-3</v>
      </c>
      <c r="J15" s="6">
        <f t="shared" si="1"/>
        <v>-0.12864634881306999</v>
      </c>
      <c r="K15" s="7">
        <f t="shared" si="2"/>
        <v>-0.12193692569893066</v>
      </c>
    </row>
    <row r="16" spans="1:14" x14ac:dyDescent="0.25">
      <c r="A16">
        <v>20223</v>
      </c>
      <c r="B16" s="5">
        <v>7.6E-3</v>
      </c>
      <c r="C16" s="6">
        <v>3.5000000000000001E-3</v>
      </c>
      <c r="D16" s="7">
        <v>1.12E-2</v>
      </c>
      <c r="I16" s="5">
        <f t="shared" si="0"/>
        <v>7.6E-3</v>
      </c>
      <c r="J16" s="6">
        <f t="shared" si="1"/>
        <v>-8.3410097829139732E-2</v>
      </c>
      <c r="K16" s="7">
        <f t="shared" si="2"/>
        <v>-7.6444014572641161E-2</v>
      </c>
    </row>
    <row r="17" spans="1:11" x14ac:dyDescent="0.25">
      <c r="A17">
        <v>20222</v>
      </c>
      <c r="B17" s="5">
        <v>7.7999999999999996E-3</v>
      </c>
      <c r="C17" s="6">
        <v>5.0999999999999997E-2</v>
      </c>
      <c r="D17" s="7">
        <v>5.8799999999999998E-2</v>
      </c>
      <c r="I17" s="5">
        <f t="shared" si="0"/>
        <v>7.7999999999999996E-3</v>
      </c>
      <c r="J17" s="6">
        <f t="shared" si="1"/>
        <v>-4.0484313504357633E-2</v>
      </c>
      <c r="K17" s="7">
        <f t="shared" si="2"/>
        <v>-3.3000091149691602E-2</v>
      </c>
    </row>
    <row r="18" spans="1:11" x14ac:dyDescent="0.25">
      <c r="A18">
        <v>20221</v>
      </c>
      <c r="B18" s="5">
        <v>8.3999999999999995E-3</v>
      </c>
      <c r="C18" s="6">
        <v>0.10100000000000001</v>
      </c>
      <c r="D18" s="7">
        <v>0.1094</v>
      </c>
      <c r="I18" s="5">
        <f t="shared" si="0"/>
        <v>8.3999999999999995E-3</v>
      </c>
      <c r="J18" s="6">
        <f t="shared" si="1"/>
        <v>5.9283153042012968E-2</v>
      </c>
      <c r="K18" s="7">
        <f t="shared" si="2"/>
        <v>6.8181131527565997E-2</v>
      </c>
    </row>
    <row r="19" spans="1:11" x14ac:dyDescent="0.25">
      <c r="A19">
        <v>20214</v>
      </c>
      <c r="B19" s="5">
        <v>9.1999999999999998E-3</v>
      </c>
      <c r="C19" s="6">
        <v>0.12379999999999999</v>
      </c>
      <c r="D19" s="7">
        <v>0.13300000000000001</v>
      </c>
      <c r="I19" s="5">
        <f t="shared" si="0"/>
        <v>9.1999999999999998E-3</v>
      </c>
      <c r="J19" s="6">
        <f t="shared" si="1"/>
        <v>0.16917621949816136</v>
      </c>
      <c r="K19" s="7">
        <f t="shared" si="2"/>
        <v>0.17993264071754456</v>
      </c>
    </row>
    <row r="20" spans="1:11" x14ac:dyDescent="0.25">
      <c r="A20">
        <v>20213</v>
      </c>
      <c r="B20" s="5">
        <v>9.9000000000000008E-3</v>
      </c>
      <c r="C20" s="6">
        <v>9.9000000000000005E-2</v>
      </c>
      <c r="D20" s="7">
        <v>0.1089</v>
      </c>
      <c r="I20" s="5">
        <f t="shared" si="0"/>
        <v>9.9000000000000008E-3</v>
      </c>
      <c r="J20" s="6">
        <f t="shared" si="1"/>
        <v>0.13705747441781277</v>
      </c>
      <c r="K20" s="7">
        <f t="shared" si="2"/>
        <v>0.14831434341454908</v>
      </c>
    </row>
    <row r="21" spans="1:11" x14ac:dyDescent="0.25">
      <c r="A21">
        <v>20212</v>
      </c>
      <c r="B21" s="5">
        <v>1.06E-2</v>
      </c>
      <c r="C21" s="6">
        <v>7.8200000000000006E-2</v>
      </c>
      <c r="D21" s="7">
        <v>8.8800000000000004E-2</v>
      </c>
      <c r="I21" s="5">
        <f t="shared" si="0"/>
        <v>1.06E-2</v>
      </c>
      <c r="J21" s="6">
        <f t="shared" si="1"/>
        <v>0.15486385471665171</v>
      </c>
      <c r="K21" s="7">
        <f t="shared" si="2"/>
        <v>0.16710541157664816</v>
      </c>
    </row>
    <row r="22" spans="1:11" x14ac:dyDescent="0.25">
      <c r="A22">
        <v>20211</v>
      </c>
      <c r="B22" s="5">
        <v>1.09E-2</v>
      </c>
      <c r="C22" s="6">
        <v>3.6299999999999999E-2</v>
      </c>
      <c r="D22" s="7">
        <v>4.7199999999999999E-2</v>
      </c>
      <c r="I22" s="5">
        <f t="shared" si="0"/>
        <v>1.09E-2</v>
      </c>
      <c r="J22" s="6">
        <f t="shared" si="1"/>
        <v>3.7214843135043571E-2</v>
      </c>
      <c r="K22" s="7">
        <f t="shared" si="2"/>
        <v>4.8520484925215435E-2</v>
      </c>
    </row>
    <row r="23" spans="1:11" x14ac:dyDescent="0.25">
      <c r="A23">
        <v>20204</v>
      </c>
      <c r="B23" s="5">
        <v>1.0999999999999999E-2</v>
      </c>
      <c r="C23" s="6">
        <v>3.5799999999999998E-2</v>
      </c>
      <c r="D23" s="7">
        <v>4.6800000000000001E-2</v>
      </c>
      <c r="I23" s="5">
        <f t="shared" si="0"/>
        <v>1.0999999999999999E-2</v>
      </c>
      <c r="J23" s="6">
        <f t="shared" si="1"/>
        <v>6.617279208344673E-2</v>
      </c>
      <c r="K23" s="7">
        <f t="shared" si="2"/>
        <v>7.7900692796364579E-2</v>
      </c>
    </row>
    <row r="24" spans="1:11" x14ac:dyDescent="0.25">
      <c r="A24">
        <v>20203</v>
      </c>
      <c r="B24" s="5">
        <v>1.12E-2</v>
      </c>
      <c r="C24" s="6">
        <v>1.9199999999999998E-2</v>
      </c>
      <c r="D24" s="7">
        <v>3.04E-2</v>
      </c>
      <c r="I24" s="5">
        <f t="shared" si="0"/>
        <v>1.12E-2</v>
      </c>
      <c r="J24" s="6">
        <f t="shared" si="1"/>
        <v>5.5610756774734323E-2</v>
      </c>
      <c r="K24" s="7">
        <f t="shared" si="2"/>
        <v>6.7433597250611488E-2</v>
      </c>
    </row>
    <row r="25" spans="1:11" x14ac:dyDescent="0.25">
      <c r="A25">
        <v>20202</v>
      </c>
      <c r="B25" s="5">
        <v>1.0999999999999999E-2</v>
      </c>
      <c r="C25" s="6">
        <v>-6.9999999999999999E-4</v>
      </c>
      <c r="D25" s="7">
        <v>1.0200000000000001E-2</v>
      </c>
      <c r="I25" s="5">
        <f t="shared" si="0"/>
        <v>1.0999999999999999E-2</v>
      </c>
      <c r="J25" s="6">
        <f t="shared" si="1"/>
        <v>-2.8694199932333426E-2</v>
      </c>
      <c r="K25" s="7">
        <f t="shared" si="2"/>
        <v>-1.8009836131589241E-2</v>
      </c>
    </row>
    <row r="26" spans="1:11" x14ac:dyDescent="0.25">
      <c r="A26">
        <v>20201</v>
      </c>
      <c r="B26" s="5">
        <v>1.1299999999999999E-2</v>
      </c>
      <c r="C26" s="6">
        <v>1.46E-2</v>
      </c>
      <c r="D26" s="7">
        <v>2.5899999999999999E-2</v>
      </c>
      <c r="I26" s="5">
        <f t="shared" si="0"/>
        <v>1.1299999999999999E-2</v>
      </c>
      <c r="J26" s="6">
        <f t="shared" si="1"/>
        <v>5.0856313955468082E-3</v>
      </c>
      <c r="K26" s="7">
        <f t="shared" si="2"/>
        <v>1.6443099030316599E-2</v>
      </c>
    </row>
    <row r="27" spans="1:11" x14ac:dyDescent="0.25">
      <c r="A27">
        <v>20194</v>
      </c>
      <c r="B27" s="5">
        <v>1.1299999999999999E-2</v>
      </c>
      <c r="C27" s="6">
        <v>1.9800000000000002E-2</v>
      </c>
      <c r="D27" s="7">
        <v>3.1199999999999999E-2</v>
      </c>
      <c r="I27" s="5">
        <f t="shared" si="0"/>
        <v>1.1299999999999999E-2</v>
      </c>
      <c r="J27" s="6">
        <f t="shared" si="1"/>
        <v>1.9251094118973858E-2</v>
      </c>
      <c r="K27" s="7">
        <f t="shared" si="2"/>
        <v>3.0768631482518405E-2</v>
      </c>
    </row>
    <row r="28" spans="1:11" x14ac:dyDescent="0.25">
      <c r="A28">
        <v>20193</v>
      </c>
      <c r="B28" s="5">
        <v>1.15E-2</v>
      </c>
      <c r="C28" s="6">
        <v>2.01E-2</v>
      </c>
      <c r="D28" s="7">
        <v>3.1600000000000003E-2</v>
      </c>
      <c r="I28" s="5">
        <f t="shared" si="0"/>
        <v>1.15E-2</v>
      </c>
      <c r="J28" s="6">
        <f t="shared" si="1"/>
        <v>1.552578432478212E-2</v>
      </c>
      <c r="K28" s="7">
        <f t="shared" si="2"/>
        <v>2.7204330844517122E-2</v>
      </c>
    </row>
    <row r="29" spans="1:11" x14ac:dyDescent="0.25">
      <c r="A29">
        <v>20192</v>
      </c>
      <c r="B29" s="5">
        <v>1.17E-2</v>
      </c>
      <c r="C29" s="6">
        <v>2.2599999999999999E-2</v>
      </c>
      <c r="D29" s="7">
        <v>3.4299999999999997E-2</v>
      </c>
      <c r="I29" s="5">
        <f t="shared" si="0"/>
        <v>1.17E-2</v>
      </c>
      <c r="J29" s="6">
        <f t="shared" si="1"/>
        <v>3.0101713707357321E-2</v>
      </c>
      <c r="K29" s="7">
        <f t="shared" si="2"/>
        <v>4.2153903757733424E-2</v>
      </c>
    </row>
    <row r="30" spans="1:11" x14ac:dyDescent="0.25">
      <c r="A30">
        <v>20191</v>
      </c>
      <c r="B30" s="5">
        <v>1.1599999999999999E-2</v>
      </c>
      <c r="C30" s="6">
        <v>1.8499999999999999E-2</v>
      </c>
      <c r="D30" s="7">
        <v>3.0200000000000001E-2</v>
      </c>
      <c r="I30" s="5">
        <f t="shared" si="0"/>
        <v>1.1599999999999999E-2</v>
      </c>
      <c r="J30" s="6">
        <f t="shared" si="1"/>
        <v>1.0998286292642675E-2</v>
      </c>
      <c r="K30" s="7">
        <f t="shared" si="2"/>
        <v>2.2725866413637386E-2</v>
      </c>
    </row>
    <row r="31" spans="1:11" x14ac:dyDescent="0.25">
      <c r="A31">
        <v>20184</v>
      </c>
      <c r="B31" s="5">
        <v>1.17E-2</v>
      </c>
      <c r="C31" s="6">
        <v>2.2599999999999999E-2</v>
      </c>
      <c r="D31" s="7">
        <v>3.4299999999999997E-2</v>
      </c>
      <c r="I31" s="5">
        <f t="shared" si="0"/>
        <v>1.17E-2</v>
      </c>
      <c r="J31" s="6">
        <f t="shared" si="1"/>
        <v>2.4429686270087146E-2</v>
      </c>
      <c r="K31" s="7">
        <f t="shared" si="2"/>
        <v>3.641551359944728E-2</v>
      </c>
    </row>
    <row r="32" spans="1:11" x14ac:dyDescent="0.25">
      <c r="A32">
        <v>20183</v>
      </c>
      <c r="B32" s="5">
        <v>1.1900000000000001E-2</v>
      </c>
      <c r="C32" s="6">
        <v>2.1600000000000001E-2</v>
      </c>
      <c r="D32" s="7">
        <v>3.3500000000000002E-2</v>
      </c>
      <c r="I32" s="5">
        <f t="shared" si="0"/>
        <v>1.1900000000000001E-2</v>
      </c>
      <c r="J32" s="6">
        <f t="shared" si="1"/>
        <v>1.7574690205808267E-2</v>
      </c>
      <c r="K32" s="7">
        <f t="shared" si="2"/>
        <v>2.9683829019257368E-2</v>
      </c>
    </row>
    <row r="33" spans="1:11" x14ac:dyDescent="0.25">
      <c r="A33">
        <v>20182</v>
      </c>
      <c r="B33" s="5">
        <v>1.2200000000000001E-2</v>
      </c>
      <c r="C33" s="6">
        <v>2.3800000000000002E-2</v>
      </c>
      <c r="D33" s="7">
        <v>3.5900000000000001E-2</v>
      </c>
      <c r="I33" s="5">
        <f t="shared" si="0"/>
        <v>1.2200000000000001E-2</v>
      </c>
      <c r="J33" s="6">
        <f t="shared" si="1"/>
        <v>3.0386870572313752E-2</v>
      </c>
      <c r="K33" s="7">
        <f t="shared" si="2"/>
        <v>4.2957590393295941E-2</v>
      </c>
    </row>
    <row r="34" spans="1:11" x14ac:dyDescent="0.25">
      <c r="A34">
        <v>20181</v>
      </c>
      <c r="B34" s="5">
        <v>1.2200000000000001E-2</v>
      </c>
      <c r="C34" s="6">
        <v>2.0199999999999999E-2</v>
      </c>
      <c r="D34" s="7">
        <v>3.2500000000000001E-2</v>
      </c>
      <c r="I34" s="5">
        <f t="shared" si="0"/>
        <v>1.2200000000000001E-2</v>
      </c>
      <c r="J34" s="6">
        <f t="shared" si="1"/>
        <v>1.8736250983930273E-2</v>
      </c>
      <c r="K34" s="7">
        <f t="shared" si="2"/>
        <v>3.1164833245933998E-2</v>
      </c>
    </row>
    <row r="35" spans="1:11" x14ac:dyDescent="0.25">
      <c r="A35">
        <v>20174</v>
      </c>
      <c r="B35" s="5">
        <v>1.2200000000000001E-2</v>
      </c>
      <c r="C35" s="6">
        <v>2.1000000000000001E-2</v>
      </c>
      <c r="D35" s="7">
        <v>3.3300000000000003E-2</v>
      </c>
      <c r="I35" s="5">
        <f t="shared" si="0"/>
        <v>1.2200000000000001E-2</v>
      </c>
      <c r="J35" s="6">
        <f t="shared" si="1"/>
        <v>2.3378592151113306E-2</v>
      </c>
      <c r="K35" s="7">
        <f t="shared" si="2"/>
        <v>3.5863810975356847E-2</v>
      </c>
    </row>
    <row r="36" spans="1:11" x14ac:dyDescent="0.25">
      <c r="A36">
        <v>20173</v>
      </c>
      <c r="B36" s="5">
        <v>1.24E-2</v>
      </c>
      <c r="C36" s="6">
        <v>1.9699999999999999E-2</v>
      </c>
      <c r="D36" s="7">
        <v>3.2099999999999997E-2</v>
      </c>
      <c r="I36" s="5">
        <f t="shared" si="0"/>
        <v>1.24E-2</v>
      </c>
      <c r="J36" s="6">
        <f t="shared" si="1"/>
        <v>2.1163749016069721E-2</v>
      </c>
      <c r="K36" s="7">
        <f t="shared" si="2"/>
        <v>3.3826179503868792E-2</v>
      </c>
    </row>
    <row r="37" spans="1:11" x14ac:dyDescent="0.25">
      <c r="A37">
        <v>20172</v>
      </c>
      <c r="B37" s="5">
        <v>1.2500000000000001E-2</v>
      </c>
      <c r="C37" s="6">
        <v>1.89E-2</v>
      </c>
      <c r="D37" s="7">
        <v>3.1399999999999997E-2</v>
      </c>
      <c r="I37" s="5">
        <f t="shared" si="0"/>
        <v>1.2500000000000001E-2</v>
      </c>
      <c r="J37" s="6">
        <f t="shared" si="1"/>
        <v>2.5669839199322461E-2</v>
      </c>
      <c r="K37" s="7">
        <f t="shared" si="2"/>
        <v>3.849071218931388E-2</v>
      </c>
    </row>
    <row r="38" spans="1:11" x14ac:dyDescent="0.25">
      <c r="A38">
        <v>20171</v>
      </c>
      <c r="B38" s="5">
        <v>1.2500000000000001E-2</v>
      </c>
      <c r="C38" s="6">
        <v>1.52E-2</v>
      </c>
      <c r="D38" s="7">
        <v>2.7799999999999998E-2</v>
      </c>
      <c r="I38" s="5">
        <f t="shared" si="0"/>
        <v>1.2500000000000001E-2</v>
      </c>
      <c r="J38" s="6">
        <f t="shared" si="1"/>
        <v>9.8939098167472542E-3</v>
      </c>
      <c r="K38" s="7">
        <f t="shared" si="2"/>
        <v>2.2517583689456444E-2</v>
      </c>
    </row>
    <row r="39" spans="1:11" x14ac:dyDescent="0.25">
      <c r="A39">
        <v>20164</v>
      </c>
      <c r="B39" s="5">
        <v>1.2800000000000001E-2</v>
      </c>
      <c r="C39" s="6">
        <v>1.8100000000000002E-2</v>
      </c>
      <c r="D39" s="7">
        <v>3.09E-2</v>
      </c>
      <c r="I39" s="5">
        <f t="shared" ref="I39:I70" si="3">+B39</f>
        <v>1.2800000000000001E-2</v>
      </c>
      <c r="J39" s="6">
        <f t="shared" ref="J39:J70" si="4">(C39-($C$2*C40))/(1-$C$2)</f>
        <v>2.1210466659148157E-2</v>
      </c>
      <c r="K39" s="7">
        <f t="shared" ref="K39:K70" si="5">(1+I39)*(1+J39)-1</f>
        <v>3.42819606323852E-2</v>
      </c>
    </row>
    <row r="40" spans="1:11" x14ac:dyDescent="0.25">
      <c r="A40">
        <v>20163</v>
      </c>
      <c r="B40" s="5">
        <v>1.29E-2</v>
      </c>
      <c r="C40" s="6">
        <v>1.6400000000000001E-2</v>
      </c>
      <c r="D40" s="7">
        <v>2.93E-2</v>
      </c>
      <c r="I40" s="5">
        <f t="shared" si="3"/>
        <v>1.29E-2</v>
      </c>
      <c r="J40" s="6">
        <f t="shared" si="4"/>
        <v>1.731484313504358E-2</v>
      </c>
      <c r="K40" s="7">
        <f t="shared" si="5"/>
        <v>3.0438204611485498E-2</v>
      </c>
    </row>
    <row r="41" spans="1:11" x14ac:dyDescent="0.25">
      <c r="A41">
        <v>20162</v>
      </c>
      <c r="B41" s="5">
        <v>1.3100000000000001E-2</v>
      </c>
      <c r="C41" s="6">
        <v>1.5900000000000001E-2</v>
      </c>
      <c r="D41" s="7">
        <v>2.9000000000000001E-2</v>
      </c>
      <c r="I41" s="5">
        <f t="shared" si="3"/>
        <v>1.3100000000000001E-2</v>
      </c>
      <c r="J41" s="6">
        <f t="shared" si="4"/>
        <v>1.4436250983930282E-2</v>
      </c>
      <c r="K41" s="7">
        <f t="shared" si="5"/>
        <v>2.7725365871819729E-2</v>
      </c>
    </row>
    <row r="42" spans="1:11" x14ac:dyDescent="0.25">
      <c r="A42">
        <v>20161</v>
      </c>
      <c r="B42" s="5">
        <v>1.3100000000000001E-2</v>
      </c>
      <c r="C42" s="6">
        <v>1.67E-2</v>
      </c>
      <c r="D42" s="7">
        <v>2.98E-2</v>
      </c>
      <c r="I42" s="5">
        <f t="shared" si="3"/>
        <v>1.3100000000000001E-2</v>
      </c>
      <c r="J42" s="6">
        <f t="shared" si="4"/>
        <v>1.1576878443755972E-2</v>
      </c>
      <c r="K42" s="7">
        <f t="shared" si="5"/>
        <v>2.4828535551369324E-2</v>
      </c>
    </row>
    <row r="43" spans="1:11" x14ac:dyDescent="0.25">
      <c r="A43">
        <v>20154</v>
      </c>
      <c r="B43" s="5">
        <v>1.32E-2</v>
      </c>
      <c r="C43" s="6">
        <v>1.95E-2</v>
      </c>
      <c r="D43" s="7">
        <v>3.27E-2</v>
      </c>
      <c r="I43" s="5">
        <f t="shared" si="3"/>
        <v>1.32E-2</v>
      </c>
      <c r="J43" s="6">
        <f t="shared" si="4"/>
        <v>1.2364223546660105E-2</v>
      </c>
      <c r="K43" s="7">
        <f t="shared" si="5"/>
        <v>2.5727431297476233E-2</v>
      </c>
    </row>
    <row r="44" spans="1:11" x14ac:dyDescent="0.25">
      <c r="A44">
        <v>20153</v>
      </c>
      <c r="B44" s="5">
        <v>1.3599999999999999E-2</v>
      </c>
      <c r="C44" s="6">
        <v>2.3400000000000001E-2</v>
      </c>
      <c r="D44" s="7">
        <v>3.6999999999999998E-2</v>
      </c>
      <c r="I44" s="5">
        <f t="shared" si="3"/>
        <v>1.3599999999999999E-2</v>
      </c>
      <c r="J44" s="6">
        <f t="shared" si="4"/>
        <v>2.1204376475895421E-2</v>
      </c>
      <c r="K44" s="7">
        <f t="shared" si="5"/>
        <v>3.5092755995967506E-2</v>
      </c>
    </row>
    <row r="45" spans="1:11" x14ac:dyDescent="0.25">
      <c r="A45">
        <v>20152</v>
      </c>
      <c r="B45" s="5">
        <v>1.35E-2</v>
      </c>
      <c r="C45" s="6">
        <v>2.46E-2</v>
      </c>
      <c r="D45" s="7">
        <v>3.8100000000000002E-2</v>
      </c>
      <c r="I45" s="5">
        <f t="shared" si="3"/>
        <v>1.35E-2</v>
      </c>
      <c r="J45" s="6">
        <f t="shared" si="4"/>
        <v>3.0272027437270175E-2</v>
      </c>
      <c r="K45" s="7">
        <f t="shared" si="5"/>
        <v>4.4180699807673252E-2</v>
      </c>
    </row>
    <row r="46" spans="1:11" x14ac:dyDescent="0.25">
      <c r="A46">
        <v>20151</v>
      </c>
      <c r="B46" s="5">
        <v>1.3599999999999999E-2</v>
      </c>
      <c r="C46" s="6">
        <v>2.1499999999999998E-2</v>
      </c>
      <c r="D46" s="7">
        <v>3.5200000000000002E-2</v>
      </c>
      <c r="I46" s="5">
        <f t="shared" si="3"/>
        <v>1.3599999999999999E-2</v>
      </c>
      <c r="J46" s="6">
        <f t="shared" si="4"/>
        <v>1.5096098054694964E-2</v>
      </c>
      <c r="K46" s="7">
        <f t="shared" si="5"/>
        <v>2.890140498823901E-2</v>
      </c>
    </row>
    <row r="47" spans="1:11" x14ac:dyDescent="0.25">
      <c r="A47">
        <v>20144</v>
      </c>
      <c r="B47" s="5">
        <v>1.4E-2</v>
      </c>
      <c r="C47" s="6">
        <v>2.5000000000000001E-2</v>
      </c>
      <c r="D47" s="7">
        <v>3.9E-2</v>
      </c>
      <c r="I47" s="5">
        <f t="shared" si="3"/>
        <v>1.4E-2</v>
      </c>
      <c r="J47" s="6">
        <f t="shared" si="4"/>
        <v>4.3296862700871526E-2</v>
      </c>
      <c r="K47" s="7">
        <f t="shared" si="5"/>
        <v>5.7903018778683757E-2</v>
      </c>
    </row>
    <row r="48" spans="1:11" x14ac:dyDescent="0.25">
      <c r="A48">
        <v>20143</v>
      </c>
      <c r="B48" s="5">
        <v>1.4200000000000001E-2</v>
      </c>
      <c r="C48" s="6">
        <v>1.4999999999999999E-2</v>
      </c>
      <c r="D48" s="7">
        <v>2.92E-2</v>
      </c>
      <c r="I48" s="5">
        <f t="shared" si="3"/>
        <v>1.4200000000000001E-2</v>
      </c>
      <c r="J48" s="6">
        <f t="shared" si="4"/>
        <v>9.3279725627298214E-3</v>
      </c>
      <c r="K48" s="7">
        <f t="shared" si="5"/>
        <v>2.3660429773120439E-2</v>
      </c>
    </row>
    <row r="49" spans="1:11" x14ac:dyDescent="0.25">
      <c r="A49">
        <v>20142</v>
      </c>
      <c r="B49" s="5">
        <v>1.46E-2</v>
      </c>
      <c r="C49" s="6">
        <v>1.8100000000000002E-2</v>
      </c>
      <c r="D49" s="7">
        <v>3.2599999999999997E-2</v>
      </c>
      <c r="I49" s="5">
        <f t="shared" si="3"/>
        <v>1.46E-2</v>
      </c>
      <c r="J49" s="6">
        <f t="shared" si="4"/>
        <v>2.7065462723427046E-2</v>
      </c>
      <c r="K49" s="7">
        <f t="shared" si="5"/>
        <v>4.206061847918896E-2</v>
      </c>
    </row>
    <row r="50" spans="1:11" x14ac:dyDescent="0.25">
      <c r="A50">
        <v>20141</v>
      </c>
      <c r="B50" s="5">
        <v>1.43E-2</v>
      </c>
      <c r="C50" s="6">
        <v>1.32E-2</v>
      </c>
      <c r="D50" s="7">
        <v>2.75E-2</v>
      </c>
      <c r="I50" s="5">
        <f t="shared" si="3"/>
        <v>1.43E-2</v>
      </c>
      <c r="J50" s="6">
        <f t="shared" si="4"/>
        <v>9.9065647138431284E-3</v>
      </c>
      <c r="K50" s="7">
        <f t="shared" si="5"/>
        <v>2.434822858925112E-2</v>
      </c>
    </row>
    <row r="51" spans="1:11" x14ac:dyDescent="0.25">
      <c r="A51">
        <v>20134</v>
      </c>
      <c r="B51" s="5">
        <v>1.4500000000000001E-2</v>
      </c>
      <c r="C51" s="6">
        <v>1.4999999999999999E-2</v>
      </c>
      <c r="D51" s="7">
        <v>2.9499999999999998E-2</v>
      </c>
      <c r="I51" s="5">
        <f t="shared" si="3"/>
        <v>1.4500000000000001E-2</v>
      </c>
      <c r="J51" s="6">
        <f t="shared" si="4"/>
        <v>1.2072501967860557E-2</v>
      </c>
      <c r="K51" s="7">
        <f t="shared" si="5"/>
        <v>2.6747553246394329E-2</v>
      </c>
    </row>
    <row r="52" spans="1:11" x14ac:dyDescent="0.25">
      <c r="A52">
        <v>20133</v>
      </c>
      <c r="B52" s="5">
        <v>1.46E-2</v>
      </c>
      <c r="C52" s="6">
        <v>1.66E-2</v>
      </c>
      <c r="D52" s="7">
        <v>3.1300000000000001E-2</v>
      </c>
      <c r="I52" s="5">
        <f t="shared" si="3"/>
        <v>1.46E-2</v>
      </c>
      <c r="J52" s="6">
        <f t="shared" si="4"/>
        <v>1.4953282356921562E-2</v>
      </c>
      <c r="K52" s="7">
        <f t="shared" si="5"/>
        <v>2.9771600279332677E-2</v>
      </c>
    </row>
    <row r="53" spans="1:11" x14ac:dyDescent="0.25">
      <c r="A53">
        <v>20132</v>
      </c>
      <c r="B53" s="5">
        <v>1.4800000000000001E-2</v>
      </c>
      <c r="C53" s="6">
        <v>1.7500000000000002E-2</v>
      </c>
      <c r="D53" s="7">
        <v>3.2300000000000002E-2</v>
      </c>
      <c r="I53" s="5">
        <f t="shared" si="3"/>
        <v>1.4800000000000001E-2</v>
      </c>
      <c r="J53" s="6">
        <f t="shared" si="4"/>
        <v>3.1588584279671081E-2</v>
      </c>
      <c r="K53" s="7">
        <f t="shared" si="5"/>
        <v>4.6856095327010072E-2</v>
      </c>
    </row>
    <row r="54" spans="1:11" x14ac:dyDescent="0.25">
      <c r="A54">
        <v>20131</v>
      </c>
      <c r="B54" s="5">
        <v>1.5100000000000001E-2</v>
      </c>
      <c r="C54" s="6">
        <v>9.7999999999999997E-3</v>
      </c>
      <c r="D54" s="7">
        <v>2.4899999999999999E-2</v>
      </c>
      <c r="I54" s="5">
        <f t="shared" si="3"/>
        <v>1.5100000000000001E-2</v>
      </c>
      <c r="J54" s="6">
        <f t="shared" si="4"/>
        <v>8.8851568649564241E-3</v>
      </c>
      <c r="K54" s="7">
        <f t="shared" si="5"/>
        <v>2.4119322733617166E-2</v>
      </c>
    </row>
    <row r="55" spans="1:11" x14ac:dyDescent="0.25">
      <c r="A55">
        <v>20124</v>
      </c>
      <c r="B55" s="5">
        <v>1.49E-2</v>
      </c>
      <c r="C55" s="6">
        <v>1.03E-2</v>
      </c>
      <c r="D55" s="7">
        <v>2.53E-2</v>
      </c>
      <c r="I55" s="5">
        <f t="shared" si="3"/>
        <v>1.49E-2</v>
      </c>
      <c r="J55" s="6">
        <f t="shared" si="4"/>
        <v>1.4691247048209165E-2</v>
      </c>
      <c r="K55" s="7">
        <f t="shared" si="5"/>
        <v>2.9810146629227541E-2</v>
      </c>
    </row>
    <row r="56" spans="1:11" x14ac:dyDescent="0.25">
      <c r="A56">
        <v>20123</v>
      </c>
      <c r="B56" s="5">
        <v>1.5100000000000001E-2</v>
      </c>
      <c r="C56" s="6">
        <v>7.9000000000000008E-3</v>
      </c>
      <c r="D56" s="7">
        <v>2.3099999999999999E-2</v>
      </c>
      <c r="I56" s="5">
        <f t="shared" si="3"/>
        <v>1.5100000000000001E-2</v>
      </c>
      <c r="J56" s="6">
        <f t="shared" si="4"/>
        <v>-2.3462431124880515E-3</v>
      </c>
      <c r="K56" s="7">
        <f t="shared" si="5"/>
        <v>1.2718328616513119E-2</v>
      </c>
    </row>
    <row r="57" spans="1:11" x14ac:dyDescent="0.25">
      <c r="A57">
        <v>20122</v>
      </c>
      <c r="B57" s="5">
        <v>1.5599999999999999E-2</v>
      </c>
      <c r="C57" s="6">
        <v>1.35E-2</v>
      </c>
      <c r="D57" s="7">
        <v>2.92E-2</v>
      </c>
      <c r="I57" s="5">
        <f t="shared" si="3"/>
        <v>1.5599999999999999E-2</v>
      </c>
      <c r="J57" s="6">
        <f t="shared" si="4"/>
        <v>1.6976403913165589E-2</v>
      </c>
      <c r="K57" s="7">
        <f t="shared" si="5"/>
        <v>3.2841235814211167E-2</v>
      </c>
    </row>
    <row r="58" spans="1:11" x14ac:dyDescent="0.25">
      <c r="A58">
        <v>20121</v>
      </c>
      <c r="B58" s="5">
        <v>1.55E-2</v>
      </c>
      <c r="C58" s="6">
        <v>1.1599999999999999E-2</v>
      </c>
      <c r="D58" s="7">
        <v>2.7099999999999999E-2</v>
      </c>
      <c r="I58" s="5">
        <f t="shared" si="3"/>
        <v>1.55E-2</v>
      </c>
      <c r="J58" s="6">
        <f t="shared" si="4"/>
        <v>1.1965937254017426E-2</v>
      </c>
      <c r="K58" s="7">
        <f t="shared" si="5"/>
        <v>2.765140928145482E-2</v>
      </c>
    </row>
    <row r="59" spans="1:11" x14ac:dyDescent="0.25">
      <c r="A59">
        <v>20114</v>
      </c>
      <c r="B59" s="5">
        <v>1.5699999999999999E-2</v>
      </c>
      <c r="C59" s="6">
        <v>1.14E-2</v>
      </c>
      <c r="D59" s="7">
        <v>2.7E-2</v>
      </c>
      <c r="I59" s="5">
        <f t="shared" si="3"/>
        <v>1.5699999999999999E-2</v>
      </c>
      <c r="J59" s="6">
        <f t="shared" si="4"/>
        <v>-1.2702350154905834E-4</v>
      </c>
      <c r="K59" s="7">
        <f t="shared" si="5"/>
        <v>1.5570982229476726E-2</v>
      </c>
    </row>
    <row r="60" spans="1:11" x14ac:dyDescent="0.25">
      <c r="A60">
        <v>20113</v>
      </c>
      <c r="B60" s="5">
        <v>1.5800000000000002E-2</v>
      </c>
      <c r="C60" s="6">
        <v>1.77E-2</v>
      </c>
      <c r="D60" s="7">
        <v>3.3500000000000002E-2</v>
      </c>
      <c r="I60" s="5">
        <f t="shared" si="3"/>
        <v>1.5800000000000002E-2</v>
      </c>
      <c r="J60" s="6">
        <f t="shared" si="4"/>
        <v>-1.8776430899325261E-3</v>
      </c>
      <c r="K60" s="7">
        <f t="shared" si="5"/>
        <v>1.3892690149246656E-2</v>
      </c>
    </row>
    <row r="61" spans="1:11" x14ac:dyDescent="0.25">
      <c r="A61">
        <v>20112</v>
      </c>
      <c r="B61" s="5">
        <v>1.6400000000000001E-2</v>
      </c>
      <c r="C61" s="6">
        <v>2.8400000000000002E-2</v>
      </c>
      <c r="D61" s="7">
        <v>4.48E-2</v>
      </c>
      <c r="I61" s="5">
        <f t="shared" si="3"/>
        <v>1.6400000000000001E-2</v>
      </c>
      <c r="J61" s="6">
        <f t="shared" si="4"/>
        <v>4.9258423478993528E-2</v>
      </c>
      <c r="K61" s="7">
        <f t="shared" si="5"/>
        <v>6.6466261624049006E-2</v>
      </c>
    </row>
    <row r="62" spans="1:11" x14ac:dyDescent="0.25">
      <c r="A62">
        <v>20111</v>
      </c>
      <c r="B62" s="5">
        <v>1.6500000000000001E-2</v>
      </c>
      <c r="C62" s="6">
        <v>1.7000000000000001E-2</v>
      </c>
      <c r="D62" s="7">
        <v>3.3500000000000002E-2</v>
      </c>
      <c r="I62" s="5">
        <f t="shared" si="3"/>
        <v>1.6500000000000001E-2</v>
      </c>
      <c r="J62" s="6">
        <f t="shared" si="4"/>
        <v>1.4804376475895421E-2</v>
      </c>
      <c r="K62" s="7">
        <f t="shared" si="5"/>
        <v>3.1548648687747649E-2</v>
      </c>
    </row>
    <row r="63" spans="1:11" x14ac:dyDescent="0.25">
      <c r="A63">
        <v>20104</v>
      </c>
      <c r="B63" s="5">
        <v>1.7000000000000001E-2</v>
      </c>
      <c r="C63" s="6">
        <v>1.8200000000000001E-2</v>
      </c>
      <c r="D63" s="7">
        <v>3.5099999999999999E-2</v>
      </c>
      <c r="I63" s="5">
        <f t="shared" si="3"/>
        <v>1.7000000000000001E-2</v>
      </c>
      <c r="J63" s="6">
        <f t="shared" si="4"/>
        <v>3.3020458787705938E-2</v>
      </c>
      <c r="K63" s="7">
        <f t="shared" si="5"/>
        <v>5.0581806587096878E-2</v>
      </c>
    </row>
    <row r="64" spans="1:11" x14ac:dyDescent="0.25">
      <c r="A64">
        <v>20103</v>
      </c>
      <c r="B64" s="5">
        <v>1.7999999999999999E-2</v>
      </c>
      <c r="C64" s="6">
        <v>1.01E-2</v>
      </c>
      <c r="D64" s="7">
        <v>2.81E-2</v>
      </c>
      <c r="I64" s="5">
        <f t="shared" si="3"/>
        <v>1.7999999999999999E-2</v>
      </c>
      <c r="J64" s="6">
        <f t="shared" si="4"/>
        <v>2.144405487454034E-2</v>
      </c>
      <c r="K64" s="7">
        <f t="shared" si="5"/>
        <v>3.9830047862281948E-2</v>
      </c>
    </row>
    <row r="65" spans="1:11" x14ac:dyDescent="0.25">
      <c r="A65">
        <v>20102</v>
      </c>
      <c r="B65" s="5">
        <v>1.8100000000000002E-2</v>
      </c>
      <c r="C65" s="6">
        <v>3.8999999999999998E-3</v>
      </c>
      <c r="D65" s="7">
        <v>2.2100000000000002E-2</v>
      </c>
      <c r="I65" s="5">
        <f t="shared" si="3"/>
        <v>1.8100000000000002E-2</v>
      </c>
      <c r="J65" s="6">
        <f t="shared" si="4"/>
        <v>3.226013718635086E-2</v>
      </c>
      <c r="K65" s="7">
        <f t="shared" si="5"/>
        <v>5.0944045669423899E-2</v>
      </c>
    </row>
    <row r="66" spans="1:11" x14ac:dyDescent="0.25">
      <c r="A66">
        <v>20101</v>
      </c>
      <c r="B66" s="5">
        <v>1.77E-2</v>
      </c>
      <c r="C66" s="6">
        <v>-1.1599999999999999E-2</v>
      </c>
      <c r="D66" s="7">
        <v>6.1000000000000004E-3</v>
      </c>
      <c r="I66" s="5">
        <f t="shared" si="3"/>
        <v>1.77E-2</v>
      </c>
      <c r="J66" s="6">
        <f t="shared" si="4"/>
        <v>4.749886652381502E-2</v>
      </c>
      <c r="K66" s="7">
        <f t="shared" si="5"/>
        <v>6.6039596461286543E-2</v>
      </c>
    </row>
    <row r="67" spans="1:11" x14ac:dyDescent="0.25">
      <c r="A67">
        <v>20094</v>
      </c>
      <c r="B67" s="5">
        <v>1.7600000000000001E-2</v>
      </c>
      <c r="C67" s="6">
        <v>-4.3900000000000002E-2</v>
      </c>
      <c r="D67" s="7">
        <v>-2.63E-2</v>
      </c>
      <c r="I67" s="5">
        <f t="shared" si="3"/>
        <v>1.7600000000000001E-2</v>
      </c>
      <c r="J67" s="6">
        <f t="shared" si="4"/>
        <v>-2.1028921623910603E-2</v>
      </c>
      <c r="K67" s="7">
        <f t="shared" si="5"/>
        <v>-3.7990306444913857E-3</v>
      </c>
    </row>
    <row r="68" spans="1:11" x14ac:dyDescent="0.25">
      <c r="A68">
        <v>20093</v>
      </c>
      <c r="B68" s="5">
        <v>1.7399999999999999E-2</v>
      </c>
      <c r="C68" s="6">
        <v>-5.6399999999999999E-2</v>
      </c>
      <c r="D68" s="7">
        <v>-3.8899999999999997E-2</v>
      </c>
      <c r="I68" s="5">
        <f t="shared" si="3"/>
        <v>1.7399999999999999E-2</v>
      </c>
      <c r="J68" s="6">
        <f t="shared" si="4"/>
        <v>-3.6639388283058759E-2</v>
      </c>
      <c r="K68" s="7">
        <f t="shared" si="5"/>
        <v>-1.987691363918398E-2</v>
      </c>
    </row>
    <row r="69" spans="1:11" x14ac:dyDescent="0.25">
      <c r="A69">
        <v>20092</v>
      </c>
      <c r="B69" s="5">
        <v>1.6899999999999998E-2</v>
      </c>
      <c r="C69" s="6">
        <v>-6.7199999999999996E-2</v>
      </c>
      <c r="D69" s="7">
        <v>-5.04E-2</v>
      </c>
      <c r="I69" s="5">
        <f t="shared" si="3"/>
        <v>1.6899999999999998E-2</v>
      </c>
      <c r="J69" s="6">
        <f t="shared" si="4"/>
        <v>-2.6397996177056512E-2</v>
      </c>
      <c r="K69" s="7">
        <f t="shared" si="5"/>
        <v>-9.9441223124488998E-3</v>
      </c>
    </row>
    <row r="70" spans="1:11" x14ac:dyDescent="0.25">
      <c r="A70">
        <v>20091</v>
      </c>
      <c r="B70" s="5">
        <v>1.54E-2</v>
      </c>
      <c r="C70" s="6">
        <v>-8.9499999999999996E-2</v>
      </c>
      <c r="D70" s="7">
        <v>-7.4099999999999999E-2</v>
      </c>
      <c r="I70" s="5">
        <f t="shared" si="3"/>
        <v>1.54E-2</v>
      </c>
      <c r="J70" s="6">
        <f t="shared" si="4"/>
        <v>-7.6875164736398632E-2</v>
      </c>
      <c r="K70" s="7">
        <f t="shared" si="5"/>
        <v>-6.2659042273339072E-2</v>
      </c>
    </row>
    <row r="71" spans="1:11" x14ac:dyDescent="0.25">
      <c r="A71">
        <v>20084</v>
      </c>
      <c r="B71" s="5">
        <v>1.4200000000000001E-2</v>
      </c>
      <c r="C71" s="6">
        <v>-9.64E-2</v>
      </c>
      <c r="D71" s="7">
        <v>-8.2199999999999995E-2</v>
      </c>
      <c r="I71" s="5">
        <f t="shared" ref="I71:I102" si="6">+B71</f>
        <v>1.4200000000000001E-2</v>
      </c>
      <c r="J71" s="6">
        <f t="shared" ref="J71:J102" si="7">(C71-($C$2*C72))/(1-$C$2)</f>
        <v>-0.24606833689312904</v>
      </c>
      <c r="K71" s="7">
        <f t="shared" ref="K71:K102" si="8">(1+I71)*(1+J71)-1</f>
        <v>-0.23536250727701147</v>
      </c>
    </row>
    <row r="72" spans="1:11" x14ac:dyDescent="0.25">
      <c r="A72">
        <v>20083</v>
      </c>
      <c r="B72" s="5">
        <v>1.4500000000000001E-2</v>
      </c>
      <c r="C72" s="6">
        <v>-1.46E-2</v>
      </c>
      <c r="D72" s="7">
        <v>0</v>
      </c>
      <c r="I72" s="5">
        <f t="shared" si="6"/>
        <v>1.4500000000000001E-2</v>
      </c>
      <c r="J72" s="6">
        <f t="shared" si="7"/>
        <v>-3.1433113684801797E-2</v>
      </c>
      <c r="K72" s="7">
        <f t="shared" si="8"/>
        <v>-1.73888938332315E-2</v>
      </c>
    </row>
    <row r="73" spans="1:11" x14ac:dyDescent="0.25">
      <c r="A73">
        <v>20082</v>
      </c>
      <c r="B73" s="5">
        <v>1.46E-2</v>
      </c>
      <c r="C73" s="6">
        <v>-5.4000000000000003E-3</v>
      </c>
      <c r="D73" s="7">
        <v>9.1000000000000004E-3</v>
      </c>
      <c r="I73" s="5">
        <f t="shared" si="6"/>
        <v>1.46E-2</v>
      </c>
      <c r="J73" s="6">
        <f t="shared" si="7"/>
        <v>-1.6195148993514197E-2</v>
      </c>
      <c r="K73" s="7">
        <f t="shared" si="8"/>
        <v>-1.8315981688195038E-3</v>
      </c>
    </row>
    <row r="74" spans="1:11" x14ac:dyDescent="0.25">
      <c r="A74">
        <v>20081</v>
      </c>
      <c r="B74" s="5">
        <v>1.4500000000000001E-2</v>
      </c>
      <c r="C74" s="6">
        <v>5.0000000000000001E-4</v>
      </c>
      <c r="D74" s="7">
        <v>1.49E-2</v>
      </c>
      <c r="I74" s="5">
        <f t="shared" si="6"/>
        <v>1.4500000000000001E-2</v>
      </c>
      <c r="J74" s="6">
        <f t="shared" si="7"/>
        <v>-2.0175454851984818E-2</v>
      </c>
      <c r="K74" s="7">
        <f t="shared" si="8"/>
        <v>-5.9679989473385708E-3</v>
      </c>
    </row>
    <row r="75" spans="1:11" x14ac:dyDescent="0.25">
      <c r="A75">
        <v>20074</v>
      </c>
      <c r="B75" s="5">
        <v>1.49E-2</v>
      </c>
      <c r="C75" s="6">
        <v>1.18E-2</v>
      </c>
      <c r="D75" s="7">
        <v>2.6700000000000002E-2</v>
      </c>
      <c r="I75" s="5">
        <f t="shared" si="6"/>
        <v>1.49E-2</v>
      </c>
      <c r="J75" s="6">
        <f t="shared" si="7"/>
        <v>3.3834431575990951E-3</v>
      </c>
      <c r="K75" s="7">
        <f t="shared" si="8"/>
        <v>1.8333856460647446E-2</v>
      </c>
    </row>
    <row r="76" spans="1:11" x14ac:dyDescent="0.25">
      <c r="A76">
        <v>20073</v>
      </c>
      <c r="B76" s="5">
        <v>1.5299999999999999E-2</v>
      </c>
      <c r="C76" s="6">
        <v>1.6400000000000001E-2</v>
      </c>
      <c r="D76" s="7">
        <v>3.1600000000000003E-2</v>
      </c>
      <c r="I76" s="5">
        <f t="shared" si="6"/>
        <v>1.5299999999999999E-2</v>
      </c>
      <c r="J76" s="6">
        <f t="shared" si="7"/>
        <v>-2.0010756774734319E-2</v>
      </c>
      <c r="K76" s="7">
        <f t="shared" si="8"/>
        <v>-5.0169213533876045E-3</v>
      </c>
    </row>
    <row r="77" spans="1:11" x14ac:dyDescent="0.25">
      <c r="A77">
        <v>20072</v>
      </c>
      <c r="B77" s="5">
        <v>1.5599999999999999E-2</v>
      </c>
      <c r="C77" s="6">
        <v>3.6299999999999999E-2</v>
      </c>
      <c r="D77" s="7">
        <v>5.1900000000000002E-2</v>
      </c>
      <c r="I77" s="5">
        <f t="shared" si="6"/>
        <v>1.5599999999999999E-2</v>
      </c>
      <c r="J77" s="6">
        <f t="shared" si="7"/>
        <v>7.4357474417812749E-2</v>
      </c>
      <c r="K77" s="7">
        <f t="shared" si="8"/>
        <v>9.11174510187307E-2</v>
      </c>
    </row>
    <row r="78" spans="1:11" x14ac:dyDescent="0.25">
      <c r="A78">
        <v>20071</v>
      </c>
      <c r="B78" s="5">
        <v>1.55E-2</v>
      </c>
      <c r="C78" s="6">
        <v>1.55E-2</v>
      </c>
      <c r="D78" s="7">
        <v>3.1E-2</v>
      </c>
      <c r="I78" s="5">
        <f t="shared" si="6"/>
        <v>1.55E-2</v>
      </c>
      <c r="J78" s="6">
        <f t="shared" si="7"/>
        <v>-2.0649881928366635E-3</v>
      </c>
      <c r="K78" s="7">
        <f t="shared" si="8"/>
        <v>1.3403004490174508E-2</v>
      </c>
    </row>
    <row r="79" spans="1:11" x14ac:dyDescent="0.25">
      <c r="A79">
        <v>20064</v>
      </c>
      <c r="B79" s="5">
        <v>1.5800000000000002E-2</v>
      </c>
      <c r="C79" s="6">
        <v>2.5100000000000001E-2</v>
      </c>
      <c r="D79" s="7">
        <v>4.0899999999999999E-2</v>
      </c>
      <c r="I79" s="5">
        <f t="shared" si="6"/>
        <v>1.5800000000000002E-2</v>
      </c>
      <c r="J79" s="6">
        <f t="shared" si="7"/>
        <v>3.6627023501549054E-2</v>
      </c>
      <c r="K79" s="7">
        <f t="shared" si="8"/>
        <v>5.3005730472873713E-2</v>
      </c>
    </row>
    <row r="80" spans="1:11" x14ac:dyDescent="0.25">
      <c r="A80">
        <v>20063</v>
      </c>
      <c r="B80" s="5">
        <v>1.5900000000000001E-2</v>
      </c>
      <c r="C80" s="6">
        <v>1.8800000000000001E-2</v>
      </c>
      <c r="D80" s="7">
        <v>3.4700000000000002E-2</v>
      </c>
      <c r="I80" s="5">
        <f t="shared" si="6"/>
        <v>1.5900000000000001E-2</v>
      </c>
      <c r="J80" s="6">
        <f t="shared" si="7"/>
        <v>-9.1941999323334259E-3</v>
      </c>
      <c r="K80" s="7">
        <f t="shared" si="8"/>
        <v>6.5596122887425778E-3</v>
      </c>
    </row>
    <row r="81" spans="1:11" x14ac:dyDescent="0.25">
      <c r="A81">
        <v>20062</v>
      </c>
      <c r="B81" s="5">
        <v>1.67E-2</v>
      </c>
      <c r="C81" s="6">
        <v>3.4099999999999998E-2</v>
      </c>
      <c r="D81" s="7">
        <v>5.0799999999999998E-2</v>
      </c>
      <c r="I81" s="5">
        <f t="shared" si="6"/>
        <v>1.67E-2</v>
      </c>
      <c r="J81" s="6">
        <f t="shared" si="7"/>
        <v>6.4655760710455437E-2</v>
      </c>
      <c r="K81" s="7">
        <f t="shared" si="8"/>
        <v>8.2435511914319859E-2</v>
      </c>
    </row>
    <row r="82" spans="1:11" x14ac:dyDescent="0.25">
      <c r="A82">
        <v>20061</v>
      </c>
      <c r="B82" s="5">
        <v>1.6400000000000001E-2</v>
      </c>
      <c r="C82" s="6">
        <v>1.7399999999999999E-2</v>
      </c>
      <c r="D82" s="7">
        <v>3.3700000000000001E-2</v>
      </c>
      <c r="I82" s="5">
        <f t="shared" si="6"/>
        <v>1.6400000000000001E-2</v>
      </c>
      <c r="J82" s="6">
        <f t="shared" si="7"/>
        <v>-9.8623254242985754E-3</v>
      </c>
      <c r="K82" s="7">
        <f t="shared" si="8"/>
        <v>6.3759324387429039E-3</v>
      </c>
    </row>
    <row r="83" spans="1:11" x14ac:dyDescent="0.25">
      <c r="A83">
        <v>20054</v>
      </c>
      <c r="B83" s="5">
        <v>1.7000000000000001E-2</v>
      </c>
      <c r="C83" s="6">
        <v>3.2300000000000002E-2</v>
      </c>
      <c r="D83" s="7">
        <v>4.9299999999999997E-2</v>
      </c>
      <c r="I83" s="5">
        <f t="shared" si="6"/>
        <v>1.7000000000000001E-2</v>
      </c>
      <c r="J83" s="6">
        <f t="shared" si="7"/>
        <v>4.9864988192836655E-2</v>
      </c>
      <c r="K83" s="7">
        <f t="shared" si="8"/>
        <v>6.7712692992114798E-2</v>
      </c>
    </row>
    <row r="84" spans="1:11" x14ac:dyDescent="0.25">
      <c r="A84">
        <v>20053</v>
      </c>
      <c r="B84" s="5">
        <v>1.7299999999999999E-2</v>
      </c>
      <c r="C84" s="6">
        <v>2.2700000000000001E-2</v>
      </c>
      <c r="D84" s="7">
        <v>0.04</v>
      </c>
      <c r="I84" s="5">
        <f t="shared" si="6"/>
        <v>1.7299999999999999E-2</v>
      </c>
      <c r="J84" s="6">
        <f t="shared" si="7"/>
        <v>-3.4935117507745285E-2</v>
      </c>
      <c r="K84" s="7">
        <f t="shared" si="8"/>
        <v>-1.8239495040629161E-2</v>
      </c>
    </row>
    <row r="85" spans="1:11" x14ac:dyDescent="0.25">
      <c r="A85">
        <v>20052</v>
      </c>
      <c r="B85" s="5">
        <v>1.8499999999999999E-2</v>
      </c>
      <c r="C85" s="6">
        <v>5.4199999999999998E-2</v>
      </c>
      <c r="D85" s="7">
        <v>7.2700000000000001E-2</v>
      </c>
      <c r="I85" s="5">
        <f t="shared" si="6"/>
        <v>1.8499999999999999E-2</v>
      </c>
      <c r="J85" s="6">
        <f t="shared" si="7"/>
        <v>0.13543807039186953</v>
      </c>
      <c r="K85" s="7">
        <f t="shared" si="8"/>
        <v>0.15644367469411913</v>
      </c>
    </row>
    <row r="86" spans="1:11" x14ac:dyDescent="0.25">
      <c r="A86">
        <v>20051</v>
      </c>
      <c r="B86" s="5">
        <v>1.8599999999999998E-2</v>
      </c>
      <c r="C86" s="6">
        <v>9.7999999999999997E-3</v>
      </c>
      <c r="D86" s="7">
        <v>2.8400000000000002E-2</v>
      </c>
      <c r="I86" s="5">
        <f t="shared" si="6"/>
        <v>1.8599999999999998E-2</v>
      </c>
      <c r="J86" s="6">
        <f t="shared" si="7"/>
        <v>-7.5820195658279485E-3</v>
      </c>
      <c r="K86" s="7">
        <f t="shared" si="8"/>
        <v>1.0876954870247646E-2</v>
      </c>
    </row>
    <row r="87" spans="1:11" x14ac:dyDescent="0.25">
      <c r="A87">
        <v>20044</v>
      </c>
      <c r="B87" s="5">
        <v>1.83E-2</v>
      </c>
      <c r="C87" s="6">
        <v>1.9300000000000001E-2</v>
      </c>
      <c r="D87" s="7">
        <v>3.7600000000000001E-2</v>
      </c>
      <c r="I87" s="5">
        <f t="shared" si="6"/>
        <v>1.83E-2</v>
      </c>
      <c r="J87" s="6">
        <f t="shared" si="7"/>
        <v>3.9975454851984824E-2</v>
      </c>
      <c r="K87" s="7">
        <f t="shared" si="8"/>
        <v>5.9007005675776103E-2</v>
      </c>
    </row>
    <row r="88" spans="1:11" x14ac:dyDescent="0.25">
      <c r="A88">
        <v>20043</v>
      </c>
      <c r="B88" s="5">
        <v>1.95E-2</v>
      </c>
      <c r="C88" s="6">
        <v>8.0000000000000002E-3</v>
      </c>
      <c r="D88" s="7">
        <v>2.76E-2</v>
      </c>
      <c r="I88" s="5">
        <f t="shared" si="6"/>
        <v>1.95E-2</v>
      </c>
      <c r="J88" s="6">
        <f t="shared" si="7"/>
        <v>8.0000000000000002E-3</v>
      </c>
      <c r="K88" s="7">
        <f t="shared" si="8"/>
        <v>2.7656000000000125E-2</v>
      </c>
    </row>
    <row r="89" spans="1:11" x14ac:dyDescent="0.25">
      <c r="A89">
        <v>20042</v>
      </c>
      <c r="B89" s="5">
        <v>1.9400000000000001E-2</v>
      </c>
      <c r="C89" s="6">
        <v>8.0000000000000002E-3</v>
      </c>
      <c r="D89" s="7">
        <v>2.7400000000000001E-2</v>
      </c>
      <c r="I89" s="5">
        <f t="shared" si="6"/>
        <v>1.9400000000000001E-2</v>
      </c>
      <c r="J89" s="6">
        <f t="shared" si="7"/>
        <v>1.4403901945305034E-2</v>
      </c>
      <c r="K89" s="7">
        <f t="shared" si="8"/>
        <v>3.4083337643044054E-2</v>
      </c>
    </row>
    <row r="90" spans="1:11" x14ac:dyDescent="0.25">
      <c r="A90">
        <v>20041</v>
      </c>
      <c r="B90" s="5">
        <v>1.95E-2</v>
      </c>
      <c r="C90" s="6">
        <v>4.4999999999999997E-3</v>
      </c>
      <c r="D90" s="7">
        <v>2.41E-2</v>
      </c>
      <c r="I90" s="5">
        <f t="shared" si="6"/>
        <v>1.95E-2</v>
      </c>
      <c r="J90" s="6">
        <f t="shared" si="7"/>
        <v>5.0489058810261455E-3</v>
      </c>
      <c r="K90" s="7">
        <f t="shared" si="8"/>
        <v>2.4647359545706182E-2</v>
      </c>
    </row>
    <row r="91" spans="1:11" x14ac:dyDescent="0.25">
      <c r="A91">
        <v>20034</v>
      </c>
      <c r="B91" s="5">
        <v>1.9800000000000002E-2</v>
      </c>
      <c r="C91" s="6">
        <v>4.1999999999999997E-3</v>
      </c>
      <c r="D91" s="7">
        <v>2.4E-2</v>
      </c>
      <c r="I91" s="5">
        <f t="shared" si="6"/>
        <v>1.9800000000000002E-2</v>
      </c>
      <c r="J91" s="6">
        <f t="shared" si="7"/>
        <v>8.5912470482091639E-3</v>
      </c>
      <c r="K91" s="7">
        <f t="shared" si="8"/>
        <v>2.8561353739763762E-2</v>
      </c>
    </row>
    <row r="92" spans="1:11" x14ac:dyDescent="0.25">
      <c r="A92">
        <v>20033</v>
      </c>
      <c r="B92" s="5">
        <v>2.06E-2</v>
      </c>
      <c r="C92" s="6">
        <v>1.8E-3</v>
      </c>
      <c r="D92" s="7">
        <v>2.24E-2</v>
      </c>
      <c r="I92" s="5">
        <f t="shared" si="6"/>
        <v>2.06E-2</v>
      </c>
      <c r="J92" s="6">
        <f t="shared" si="7"/>
        <v>1.9547956819845374E-2</v>
      </c>
      <c r="K92" s="7">
        <f t="shared" si="8"/>
        <v>4.0550644730334096E-2</v>
      </c>
    </row>
    <row r="93" spans="1:11" x14ac:dyDescent="0.25">
      <c r="A93">
        <v>20032</v>
      </c>
      <c r="B93" s="5">
        <v>2.0500000000000001E-2</v>
      </c>
      <c r="C93" s="6">
        <v>-7.9000000000000008E-3</v>
      </c>
      <c r="D93" s="7">
        <v>1.26E-2</v>
      </c>
      <c r="I93" s="5">
        <f t="shared" si="6"/>
        <v>2.0500000000000001E-2</v>
      </c>
      <c r="J93" s="6">
        <f t="shared" si="7"/>
        <v>-2.2903427414714649E-2</v>
      </c>
      <c r="K93" s="7">
        <f t="shared" si="8"/>
        <v>-2.8729476767163087E-3</v>
      </c>
    </row>
    <row r="94" spans="1:11" x14ac:dyDescent="0.25">
      <c r="A94">
        <v>20031</v>
      </c>
      <c r="B94" s="5">
        <v>2.0500000000000001E-2</v>
      </c>
      <c r="C94" s="6">
        <v>2.9999999999999997E-4</v>
      </c>
      <c r="D94" s="7">
        <v>2.0799999999999999E-2</v>
      </c>
      <c r="I94" s="5">
        <f t="shared" si="6"/>
        <v>2.0500000000000001E-2</v>
      </c>
      <c r="J94" s="6">
        <f t="shared" si="7"/>
        <v>7.252807826331178E-3</v>
      </c>
      <c r="K94" s="7">
        <f t="shared" si="8"/>
        <v>2.7901490386770922E-2</v>
      </c>
    </row>
    <row r="95" spans="1:11" x14ac:dyDescent="0.25">
      <c r="A95">
        <v>20024</v>
      </c>
      <c r="B95" s="5">
        <v>2.1100000000000001E-2</v>
      </c>
      <c r="C95" s="6">
        <v>-3.5000000000000001E-3</v>
      </c>
      <c r="D95" s="7">
        <v>1.7500000000000002E-2</v>
      </c>
      <c r="I95" s="5">
        <f t="shared" si="6"/>
        <v>2.1100000000000001E-2</v>
      </c>
      <c r="J95" s="6">
        <f t="shared" si="7"/>
        <v>-5.1467176430784372E-3</v>
      </c>
      <c r="K95" s="7">
        <f t="shared" si="8"/>
        <v>1.5844686614652659E-2</v>
      </c>
    </row>
    <row r="96" spans="1:11" x14ac:dyDescent="0.25">
      <c r="A96">
        <v>20023</v>
      </c>
      <c r="B96" s="5">
        <v>2.12E-2</v>
      </c>
      <c r="C96" s="6">
        <v>-2.5999999999999999E-3</v>
      </c>
      <c r="D96" s="7">
        <v>1.8700000000000001E-2</v>
      </c>
      <c r="I96" s="5">
        <f t="shared" si="6"/>
        <v>2.12E-2</v>
      </c>
      <c r="J96" s="6">
        <f t="shared" si="7"/>
        <v>8.9270235015490584E-3</v>
      </c>
      <c r="K96" s="7">
        <f t="shared" si="8"/>
        <v>3.0316276399781961E-2</v>
      </c>
    </row>
    <row r="97" spans="1:11" x14ac:dyDescent="0.25">
      <c r="A97">
        <v>20022</v>
      </c>
      <c r="B97" s="5">
        <v>2.1399999999999999E-2</v>
      </c>
      <c r="C97" s="6">
        <v>-8.8999999999999999E-3</v>
      </c>
      <c r="D97" s="7">
        <v>1.2500000000000001E-2</v>
      </c>
      <c r="I97" s="5">
        <f t="shared" si="6"/>
        <v>2.1399999999999999E-2</v>
      </c>
      <c r="J97" s="6">
        <f t="shared" si="7"/>
        <v>-1.9695148993514197E-2</v>
      </c>
      <c r="K97" s="7">
        <f t="shared" si="8"/>
        <v>1.2833748180247628E-3</v>
      </c>
    </row>
    <row r="98" spans="1:11" x14ac:dyDescent="0.25">
      <c r="A98">
        <v>20021</v>
      </c>
      <c r="B98" s="5">
        <v>2.1899999999999999E-2</v>
      </c>
      <c r="C98" s="6">
        <v>-3.0000000000000001E-3</v>
      </c>
      <c r="D98" s="7">
        <v>1.89E-2</v>
      </c>
      <c r="I98" s="5">
        <f t="shared" si="6"/>
        <v>2.1899999999999999E-2</v>
      </c>
      <c r="J98" s="6">
        <f t="shared" si="7"/>
        <v>8.5270235015490574E-3</v>
      </c>
      <c r="K98" s="7">
        <f t="shared" si="8"/>
        <v>3.0613765316233055E-2</v>
      </c>
    </row>
    <row r="99" spans="1:11" x14ac:dyDescent="0.25">
      <c r="A99">
        <v>20014</v>
      </c>
      <c r="B99" s="5">
        <v>2.12E-2</v>
      </c>
      <c r="C99" s="6">
        <v>-9.2999999999999992E-3</v>
      </c>
      <c r="D99" s="7">
        <v>1.1900000000000001E-2</v>
      </c>
      <c r="I99" s="5">
        <f t="shared" si="6"/>
        <v>2.12E-2</v>
      </c>
      <c r="J99" s="6">
        <f t="shared" si="7"/>
        <v>-2.3388584279671068E-2</v>
      </c>
      <c r="K99" s="7">
        <f t="shared" si="8"/>
        <v>-2.6844222663999773E-3</v>
      </c>
    </row>
    <row r="100" spans="1:11" x14ac:dyDescent="0.25">
      <c r="A100">
        <v>20013</v>
      </c>
      <c r="B100" s="5">
        <v>2.2100000000000002E-2</v>
      </c>
      <c r="C100" s="6">
        <v>-1.6000000000000001E-3</v>
      </c>
      <c r="D100" s="7">
        <v>2.0500000000000001E-2</v>
      </c>
      <c r="I100" s="5">
        <f t="shared" si="6"/>
        <v>2.2100000000000002E-2</v>
      </c>
      <c r="J100" s="6">
        <f t="shared" si="7"/>
        <v>-2.4837015630106832E-2</v>
      </c>
      <c r="K100" s="7">
        <f t="shared" si="8"/>
        <v>-3.2859136755322149E-3</v>
      </c>
    </row>
    <row r="101" spans="1:11" x14ac:dyDescent="0.25">
      <c r="A101">
        <v>20012</v>
      </c>
      <c r="B101" s="5">
        <v>2.1899999999999999E-2</v>
      </c>
      <c r="C101" s="6">
        <v>1.11E-2</v>
      </c>
      <c r="D101" s="7">
        <v>3.3000000000000002E-2</v>
      </c>
      <c r="I101" s="5">
        <f t="shared" si="6"/>
        <v>2.1899999999999999E-2</v>
      </c>
      <c r="J101" s="6">
        <f t="shared" si="7"/>
        <v>2.2992960755566491E-2</v>
      </c>
      <c r="K101" s="7">
        <f t="shared" si="8"/>
        <v>4.5396506596113495E-2</v>
      </c>
    </row>
    <row r="102" spans="1:11" x14ac:dyDescent="0.25">
      <c r="A102">
        <v>20011</v>
      </c>
      <c r="B102" s="5">
        <v>2.1299999999999999E-2</v>
      </c>
      <c r="C102" s="6">
        <v>4.5999999999999999E-3</v>
      </c>
      <c r="D102" s="7">
        <v>2.5899999999999999E-2</v>
      </c>
      <c r="I102" s="5">
        <f t="shared" si="6"/>
        <v>2.1299999999999999E-2</v>
      </c>
      <c r="J102" s="6">
        <f t="shared" si="7"/>
        <v>-1.7356235241045823E-2</v>
      </c>
      <c r="K102" s="7">
        <f t="shared" si="8"/>
        <v>3.5740769483201262E-3</v>
      </c>
    </row>
    <row r="103" spans="1:11" x14ac:dyDescent="0.25">
      <c r="A103">
        <v>20004</v>
      </c>
      <c r="B103" s="5">
        <v>2.1999999999999999E-2</v>
      </c>
      <c r="C103" s="6">
        <v>1.66E-2</v>
      </c>
      <c r="D103" s="7">
        <v>3.8600000000000002E-2</v>
      </c>
      <c r="I103" s="5">
        <f t="shared" ref="I103:I134" si="9">+B103</f>
        <v>2.1999999999999999E-2</v>
      </c>
      <c r="J103" s="6">
        <f t="shared" ref="J103:J134" si="10">(C103-($C$2*C104))/(1-$C$2)</f>
        <v>2.4467650961374755E-2</v>
      </c>
      <c r="K103" s="7">
        <f t="shared" ref="K103:K134" si="11">(1+I103)*(1+J103)-1</f>
        <v>4.7005939282525055E-2</v>
      </c>
    </row>
    <row r="104" spans="1:11" x14ac:dyDescent="0.25">
      <c r="A104">
        <v>20003</v>
      </c>
      <c r="B104" s="5">
        <v>2.2200000000000001E-2</v>
      </c>
      <c r="C104" s="6">
        <v>1.23E-2</v>
      </c>
      <c r="D104" s="7">
        <v>3.4599999999999999E-2</v>
      </c>
      <c r="I104" s="5">
        <f t="shared" si="9"/>
        <v>2.2200000000000001E-2</v>
      </c>
      <c r="J104" s="6">
        <f t="shared" si="10"/>
        <v>9.1895333408518413E-3</v>
      </c>
      <c r="K104" s="7">
        <f t="shared" si="11"/>
        <v>3.1593540981018631E-2</v>
      </c>
    </row>
    <row r="105" spans="1:11" x14ac:dyDescent="0.25">
      <c r="A105">
        <v>20002</v>
      </c>
      <c r="B105" s="5">
        <v>2.2200000000000001E-2</v>
      </c>
      <c r="C105" s="6">
        <v>1.4E-2</v>
      </c>
      <c r="D105" s="7">
        <v>3.6200000000000003E-2</v>
      </c>
      <c r="I105" s="5">
        <f t="shared" si="9"/>
        <v>2.2200000000000001E-2</v>
      </c>
      <c r="J105" s="6">
        <f t="shared" si="10"/>
        <v>3.4126548970958674E-2</v>
      </c>
      <c r="K105" s="7">
        <f t="shared" si="11"/>
        <v>5.7084158358113868E-2</v>
      </c>
    </row>
    <row r="106" spans="1:11" x14ac:dyDescent="0.25">
      <c r="A106">
        <v>20001</v>
      </c>
      <c r="B106" s="5">
        <v>2.1700000000000001E-2</v>
      </c>
      <c r="C106" s="6">
        <v>3.0000000000000001E-3</v>
      </c>
      <c r="D106" s="7">
        <v>2.47E-2</v>
      </c>
      <c r="I106" s="5">
        <f t="shared" si="9"/>
        <v>2.1700000000000001E-2</v>
      </c>
      <c r="J106" s="6">
        <f t="shared" si="10"/>
        <v>-3.7698391993224636E-3</v>
      </c>
      <c r="K106" s="7">
        <f t="shared" si="11"/>
        <v>1.7848355290052353E-2</v>
      </c>
    </row>
    <row r="107" spans="1:11" x14ac:dyDescent="0.25">
      <c r="A107">
        <v>19994</v>
      </c>
      <c r="B107" s="5">
        <v>2.1600000000000001E-2</v>
      </c>
      <c r="C107" s="6">
        <v>6.7000000000000002E-3</v>
      </c>
      <c r="D107" s="7">
        <v>2.8299999999999999E-2</v>
      </c>
      <c r="I107" s="5">
        <f t="shared" si="9"/>
        <v>2.1600000000000001E-2</v>
      </c>
      <c r="J107" s="6">
        <f t="shared" si="10"/>
        <v>4.5043764758954177E-3</v>
      </c>
      <c r="K107" s="7">
        <f t="shared" si="11"/>
        <v>2.6201671007774818E-2</v>
      </c>
    </row>
    <row r="108" spans="1:11" x14ac:dyDescent="0.25">
      <c r="A108">
        <v>19993</v>
      </c>
      <c r="B108" s="5">
        <v>2.1700000000000001E-2</v>
      </c>
      <c r="C108" s="6">
        <v>7.9000000000000008E-3</v>
      </c>
      <c r="D108" s="7">
        <v>2.9600000000000001E-2</v>
      </c>
      <c r="I108" s="5">
        <f t="shared" si="9"/>
        <v>2.1700000000000001E-2</v>
      </c>
      <c r="J108" s="6">
        <f t="shared" si="10"/>
        <v>1.1010466659148161E-2</v>
      </c>
      <c r="K108" s="7">
        <f t="shared" si="11"/>
        <v>3.2949393785651759E-2</v>
      </c>
    </row>
    <row r="109" spans="1:11" x14ac:dyDescent="0.25">
      <c r="A109">
        <v>19992</v>
      </c>
      <c r="B109" s="5">
        <v>2.2200000000000001E-2</v>
      </c>
      <c r="C109" s="6">
        <v>6.1999999999999998E-3</v>
      </c>
      <c r="D109" s="7">
        <v>2.8400000000000002E-2</v>
      </c>
      <c r="I109" s="5">
        <f t="shared" si="9"/>
        <v>2.2200000000000001E-2</v>
      </c>
      <c r="J109" s="6">
        <f t="shared" si="10"/>
        <v>1.0957184302226594E-2</v>
      </c>
      <c r="K109" s="7">
        <f t="shared" si="11"/>
        <v>3.340043379373614E-2</v>
      </c>
    </row>
    <row r="110" spans="1:11" x14ac:dyDescent="0.25">
      <c r="A110">
        <v>19991</v>
      </c>
      <c r="B110" s="5">
        <v>2.1999999999999999E-2</v>
      </c>
      <c r="C110" s="6">
        <v>3.5999999999999999E-3</v>
      </c>
      <c r="D110" s="7">
        <v>2.5600000000000001E-2</v>
      </c>
      <c r="I110" s="5">
        <f t="shared" si="9"/>
        <v>2.1999999999999999E-2</v>
      </c>
      <c r="J110" s="6">
        <f t="shared" si="10"/>
        <v>-4.0846823343660375E-3</v>
      </c>
      <c r="K110" s="7">
        <f t="shared" si="11"/>
        <v>1.7825454654277983E-2</v>
      </c>
    </row>
    <row r="111" spans="1:11" x14ac:dyDescent="0.25">
      <c r="A111">
        <v>19984</v>
      </c>
      <c r="B111" s="5">
        <v>2.1999999999999999E-2</v>
      </c>
      <c r="C111" s="6">
        <v>7.7999999999999996E-3</v>
      </c>
      <c r="D111" s="7">
        <v>2.98E-2</v>
      </c>
      <c r="I111" s="5">
        <f t="shared" si="9"/>
        <v>2.1999999999999999E-2</v>
      </c>
      <c r="J111" s="6">
        <f t="shared" si="10"/>
        <v>-4.8248352636013495E-3</v>
      </c>
      <c r="K111" s="7">
        <f t="shared" si="11"/>
        <v>1.7069018360599486E-2</v>
      </c>
    </row>
    <row r="112" spans="1:11" x14ac:dyDescent="0.25">
      <c r="A112">
        <v>19983</v>
      </c>
      <c r="B112" s="5">
        <v>2.2100000000000002E-2</v>
      </c>
      <c r="C112" s="6">
        <v>1.47E-2</v>
      </c>
      <c r="D112" s="7">
        <v>3.6799999999999999E-2</v>
      </c>
      <c r="I112" s="5">
        <f t="shared" si="9"/>
        <v>2.2100000000000002E-2</v>
      </c>
      <c r="J112" s="6">
        <f t="shared" si="10"/>
        <v>-2.4990509388192316E-3</v>
      </c>
      <c r="K112" s="7">
        <f t="shared" si="11"/>
        <v>1.9545720035432979E-2</v>
      </c>
    </row>
    <row r="113" spans="1:11" x14ac:dyDescent="0.25">
      <c r="A113">
        <v>19982</v>
      </c>
      <c r="B113" s="5">
        <v>2.23E-2</v>
      </c>
      <c r="C113" s="6">
        <v>2.41E-2</v>
      </c>
      <c r="D113" s="7">
        <v>4.65E-2</v>
      </c>
      <c r="I113" s="5">
        <f t="shared" si="9"/>
        <v>2.23E-2</v>
      </c>
      <c r="J113" s="6">
        <f t="shared" si="10"/>
        <v>4.2945768581897664E-2</v>
      </c>
      <c r="K113" s="7">
        <f t="shared" si="11"/>
        <v>6.6203459221273908E-2</v>
      </c>
    </row>
    <row r="114" spans="1:11" x14ac:dyDescent="0.25">
      <c r="A114">
        <v>19981</v>
      </c>
      <c r="B114" s="5">
        <v>2.3300000000000001E-2</v>
      </c>
      <c r="C114" s="6">
        <v>1.38E-2</v>
      </c>
      <c r="D114" s="7">
        <v>3.7100000000000001E-2</v>
      </c>
      <c r="I114" s="5">
        <f t="shared" si="9"/>
        <v>2.3300000000000001E-2</v>
      </c>
      <c r="J114" s="6">
        <f t="shared" si="10"/>
        <v>1.050656471384313E-2</v>
      </c>
      <c r="K114" s="7">
        <f t="shared" si="11"/>
        <v>3.4051367671675825E-2</v>
      </c>
    </row>
    <row r="115" spans="1:11" x14ac:dyDescent="0.25">
      <c r="A115">
        <v>19974</v>
      </c>
      <c r="B115" s="5">
        <v>2.2700000000000001E-2</v>
      </c>
      <c r="C115" s="6">
        <v>1.5599999999999999E-2</v>
      </c>
      <c r="D115" s="7">
        <v>3.8399999999999997E-2</v>
      </c>
      <c r="I115" s="5">
        <f t="shared" si="9"/>
        <v>2.2700000000000001E-2</v>
      </c>
      <c r="J115" s="6">
        <f t="shared" si="10"/>
        <v>5.3537568875119436E-3</v>
      </c>
      <c r="K115" s="7">
        <f t="shared" si="11"/>
        <v>2.817528716885831E-2</v>
      </c>
    </row>
    <row r="116" spans="1:11" x14ac:dyDescent="0.25">
      <c r="A116">
        <v>19973</v>
      </c>
      <c r="B116" s="5">
        <v>2.29E-2</v>
      </c>
      <c r="C116" s="6">
        <v>2.12E-2</v>
      </c>
      <c r="D116" s="7">
        <v>4.3999999999999997E-2</v>
      </c>
      <c r="I116" s="5">
        <f t="shared" si="9"/>
        <v>2.29E-2</v>
      </c>
      <c r="J116" s="6">
        <f t="shared" si="10"/>
        <v>3.6203427414714648E-2</v>
      </c>
      <c r="K116" s="7">
        <f t="shared" si="11"/>
        <v>5.9932485902511656E-2</v>
      </c>
    </row>
    <row r="117" spans="1:11" x14ac:dyDescent="0.25">
      <c r="A117">
        <v>19972</v>
      </c>
      <c r="B117" s="5">
        <v>2.3800000000000002E-2</v>
      </c>
      <c r="C117" s="6">
        <v>1.2999999999999999E-2</v>
      </c>
      <c r="D117" s="7">
        <v>3.6799999999999999E-2</v>
      </c>
      <c r="I117" s="5">
        <f t="shared" si="9"/>
        <v>2.3800000000000002E-2</v>
      </c>
      <c r="J117" s="6">
        <f t="shared" si="10"/>
        <v>2.2514368604453192E-2</v>
      </c>
      <c r="K117" s="7">
        <f t="shared" si="11"/>
        <v>4.6850210577239038E-2</v>
      </c>
    </row>
    <row r="118" spans="1:11" x14ac:dyDescent="0.25">
      <c r="A118">
        <v>19971</v>
      </c>
      <c r="B118" s="5">
        <v>2.3300000000000001E-2</v>
      </c>
      <c r="C118" s="6">
        <v>7.7999999999999996E-3</v>
      </c>
      <c r="D118" s="7">
        <v>3.1099999999999999E-2</v>
      </c>
      <c r="I118" s="5">
        <f t="shared" si="9"/>
        <v>2.3300000000000001E-2</v>
      </c>
      <c r="J118" s="6">
        <f t="shared" si="10"/>
        <v>3.5917215787995491E-3</v>
      </c>
      <c r="K118" s="7">
        <f t="shared" si="11"/>
        <v>2.6975408691585656E-2</v>
      </c>
    </row>
    <row r="119" spans="1:11" x14ac:dyDescent="0.25">
      <c r="A119">
        <v>19964</v>
      </c>
      <c r="B119" s="5">
        <v>2.3199999999999998E-2</v>
      </c>
      <c r="C119" s="6">
        <v>1.01E-2</v>
      </c>
      <c r="D119" s="7">
        <v>3.3300000000000003E-2</v>
      </c>
      <c r="I119" s="5">
        <f t="shared" si="9"/>
        <v>2.3199999999999998E-2</v>
      </c>
      <c r="J119" s="6">
        <f t="shared" si="10"/>
        <v>3.3301608006775351E-3</v>
      </c>
      <c r="K119" s="7">
        <f t="shared" si="11"/>
        <v>2.6607420531253423E-2</v>
      </c>
    </row>
    <row r="120" spans="1:11" x14ac:dyDescent="0.25">
      <c r="A120">
        <v>19963</v>
      </c>
      <c r="B120" s="5">
        <v>2.3599999999999999E-2</v>
      </c>
      <c r="C120" s="6">
        <v>1.38E-2</v>
      </c>
      <c r="D120" s="7">
        <v>3.7400000000000003E-2</v>
      </c>
      <c r="I120" s="5">
        <f t="shared" si="9"/>
        <v>2.3599999999999999E-2</v>
      </c>
      <c r="J120" s="6">
        <f t="shared" si="10"/>
        <v>3.3011705835915096E-2</v>
      </c>
      <c r="K120" s="7">
        <f t="shared" si="11"/>
        <v>5.7390782093642789E-2</v>
      </c>
    </row>
    <row r="121" spans="1:11" x14ac:dyDescent="0.25">
      <c r="A121">
        <v>19962</v>
      </c>
      <c r="B121" s="5">
        <v>2.3599999999999999E-2</v>
      </c>
      <c r="C121" s="6">
        <v>3.3E-3</v>
      </c>
      <c r="D121" s="7">
        <v>2.6800000000000001E-2</v>
      </c>
      <c r="I121" s="5">
        <f t="shared" si="9"/>
        <v>2.3599999999999999E-2</v>
      </c>
      <c r="J121" s="6">
        <f t="shared" si="10"/>
        <v>-4.3846823343660383E-3</v>
      </c>
      <c r="K121" s="7">
        <f t="shared" si="11"/>
        <v>1.9111839162542887E-2</v>
      </c>
    </row>
    <row r="122" spans="1:11" x14ac:dyDescent="0.25">
      <c r="A122">
        <v>19961</v>
      </c>
      <c r="B122" s="5">
        <v>2.4199999999999999E-2</v>
      </c>
      <c r="C122" s="6">
        <v>7.4999999999999997E-3</v>
      </c>
      <c r="D122" s="7">
        <v>3.1699999999999999E-2</v>
      </c>
      <c r="I122" s="5">
        <f t="shared" si="9"/>
        <v>2.4199999999999999E-2</v>
      </c>
      <c r="J122" s="6">
        <f t="shared" si="10"/>
        <v>1.3537964691287601E-2</v>
      </c>
      <c r="K122" s="7">
        <f t="shared" si="11"/>
        <v>3.8065583436816874E-2</v>
      </c>
    </row>
    <row r="123" spans="1:11" x14ac:dyDescent="0.25">
      <c r="A123">
        <v>19954</v>
      </c>
      <c r="B123" s="5">
        <v>2.3400000000000001E-2</v>
      </c>
      <c r="C123" s="6">
        <v>4.1999999999999997E-3</v>
      </c>
      <c r="D123" s="7">
        <v>2.76E-2</v>
      </c>
      <c r="I123" s="5">
        <f t="shared" si="9"/>
        <v>2.3400000000000001E-2</v>
      </c>
      <c r="J123" s="6">
        <f t="shared" si="10"/>
        <v>2.7362509839302775E-3</v>
      </c>
      <c r="K123" s="7">
        <f t="shared" si="11"/>
        <v>2.6200279256954451E-2</v>
      </c>
    </row>
    <row r="124" spans="1:11" x14ac:dyDescent="0.25">
      <c r="A124">
        <v>19953</v>
      </c>
      <c r="B124" s="5">
        <v>2.4299999999999999E-2</v>
      </c>
      <c r="C124" s="6">
        <v>5.0000000000000001E-3</v>
      </c>
      <c r="D124" s="7">
        <v>2.93E-2</v>
      </c>
      <c r="I124" s="5">
        <f t="shared" si="9"/>
        <v>2.4299999999999999E-2</v>
      </c>
      <c r="J124" s="6">
        <f t="shared" si="10"/>
        <v>3.5362509839302792E-3</v>
      </c>
      <c r="K124" s="7">
        <f t="shared" si="11"/>
        <v>2.7922181882839681E-2</v>
      </c>
    </row>
    <row r="125" spans="1:11" x14ac:dyDescent="0.25">
      <c r="A125">
        <v>19952</v>
      </c>
      <c r="B125" s="5">
        <v>2.4500000000000001E-2</v>
      </c>
      <c r="C125" s="6">
        <v>5.7999999999999996E-3</v>
      </c>
      <c r="D125" s="7">
        <v>3.0300000000000001E-2</v>
      </c>
      <c r="I125" s="5">
        <f t="shared" si="9"/>
        <v>2.4500000000000001E-2</v>
      </c>
      <c r="J125" s="6">
        <f t="shared" si="10"/>
        <v>5.4340627459825682E-3</v>
      </c>
      <c r="K125" s="7">
        <f t="shared" si="11"/>
        <v>3.0067197283259128E-2</v>
      </c>
    </row>
    <row r="126" spans="1:11" x14ac:dyDescent="0.25">
      <c r="A126">
        <v>19951</v>
      </c>
      <c r="B126" s="5">
        <v>2.4500000000000001E-2</v>
      </c>
      <c r="C126" s="6">
        <v>6.0000000000000001E-3</v>
      </c>
      <c r="D126" s="7">
        <v>3.0499999999999999E-2</v>
      </c>
      <c r="I126" s="5">
        <f t="shared" si="9"/>
        <v>2.4500000000000001E-2</v>
      </c>
      <c r="J126" s="6">
        <f t="shared" si="10"/>
        <v>1.6795148993514197E-2</v>
      </c>
      <c r="K126" s="7">
        <f t="shared" si="11"/>
        <v>4.1706630143855117E-2</v>
      </c>
    </row>
    <row r="127" spans="1:11" x14ac:dyDescent="0.25">
      <c r="A127">
        <v>19944</v>
      </c>
      <c r="B127" s="5">
        <v>2.41E-2</v>
      </c>
      <c r="C127" s="6">
        <v>1E-4</v>
      </c>
      <c r="D127" s="7">
        <v>2.4199999999999999E-2</v>
      </c>
      <c r="I127" s="5">
        <f t="shared" si="9"/>
        <v>2.41E-2</v>
      </c>
      <c r="J127" s="6">
        <f t="shared" si="10"/>
        <v>2.6615607781220129E-3</v>
      </c>
      <c r="K127" s="7">
        <f t="shared" si="11"/>
        <v>2.6825704392874794E-2</v>
      </c>
    </row>
    <row r="128" spans="1:11" x14ac:dyDescent="0.25">
      <c r="A128">
        <v>19943</v>
      </c>
      <c r="B128" s="5">
        <v>2.4E-2</v>
      </c>
      <c r="C128" s="6">
        <v>-1.2999999999999999E-3</v>
      </c>
      <c r="D128" s="7">
        <v>2.2700000000000001E-2</v>
      </c>
      <c r="I128" s="5">
        <f t="shared" si="9"/>
        <v>2.4E-2</v>
      </c>
      <c r="J128" s="6">
        <f t="shared" si="10"/>
        <v>1.4435301922749508E-2</v>
      </c>
      <c r="K128" s="7">
        <f t="shared" si="11"/>
        <v>3.8781749168895541E-2</v>
      </c>
    </row>
    <row r="129" spans="1:11" x14ac:dyDescent="0.25">
      <c r="A129">
        <v>19942</v>
      </c>
      <c r="B129" s="5">
        <v>2.24E-2</v>
      </c>
      <c r="C129" s="6">
        <v>-9.9000000000000008E-3</v>
      </c>
      <c r="D129" s="7">
        <v>1.2500000000000001E-2</v>
      </c>
      <c r="I129" s="5">
        <f t="shared" si="9"/>
        <v>2.24E-2</v>
      </c>
      <c r="J129" s="6">
        <f t="shared" si="10"/>
        <v>-1.4291247048209169E-2</v>
      </c>
      <c r="K129" s="7">
        <f t="shared" si="11"/>
        <v>7.7886290179109974E-3</v>
      </c>
    </row>
    <row r="130" spans="1:11" x14ac:dyDescent="0.25">
      <c r="A130">
        <v>19941</v>
      </c>
      <c r="B130" s="5">
        <v>2.2499999999999999E-2</v>
      </c>
      <c r="C130" s="6">
        <v>-7.4999999999999997E-3</v>
      </c>
      <c r="D130" s="7">
        <v>1.4999999999999999E-2</v>
      </c>
      <c r="I130" s="5">
        <f t="shared" si="9"/>
        <v>2.2499999999999999E-2</v>
      </c>
      <c r="J130" s="6">
        <f t="shared" si="10"/>
        <v>3.805918812517009E-2</v>
      </c>
      <c r="K130" s="7">
        <f t="shared" si="11"/>
        <v>6.1415519857986434E-2</v>
      </c>
    </row>
    <row r="131" spans="1:11" x14ac:dyDescent="0.25">
      <c r="A131">
        <v>19934</v>
      </c>
      <c r="B131" s="5">
        <v>2.2700000000000001E-2</v>
      </c>
      <c r="C131" s="6">
        <v>-3.2399999999999998E-2</v>
      </c>
      <c r="D131" s="7">
        <v>-9.7000000000000003E-3</v>
      </c>
      <c r="I131" s="5">
        <f t="shared" si="9"/>
        <v>2.2700000000000001E-2</v>
      </c>
      <c r="J131" s="6">
        <f t="shared" si="10"/>
        <v>-6.4419509726525159E-2</v>
      </c>
      <c r="K131" s="7">
        <f t="shared" si="11"/>
        <v>-4.3181832597317338E-2</v>
      </c>
    </row>
    <row r="132" spans="1:11" x14ac:dyDescent="0.25">
      <c r="A132">
        <v>19933</v>
      </c>
      <c r="B132" s="5">
        <v>2.1299999999999999E-2</v>
      </c>
      <c r="C132" s="6">
        <v>-1.49E-2</v>
      </c>
      <c r="D132" s="7">
        <v>6.4000000000000003E-3</v>
      </c>
      <c r="I132" s="5">
        <f t="shared" si="9"/>
        <v>2.1299999999999999E-2</v>
      </c>
      <c r="J132" s="6">
        <f t="shared" si="10"/>
        <v>1.5106854829429302E-2</v>
      </c>
      <c r="K132" s="7">
        <f t="shared" si="11"/>
        <v>3.6728630837296272E-2</v>
      </c>
    </row>
    <row r="133" spans="1:11" x14ac:dyDescent="0.25">
      <c r="A133">
        <v>19932</v>
      </c>
      <c r="B133" s="5">
        <v>2.1100000000000001E-2</v>
      </c>
      <c r="C133" s="6">
        <v>-3.1300000000000001E-2</v>
      </c>
      <c r="D133" s="7">
        <v>-1.0200000000000001E-2</v>
      </c>
      <c r="I133" s="5">
        <f t="shared" si="9"/>
        <v>2.1100000000000001E-2</v>
      </c>
      <c r="J133" s="6">
        <f t="shared" si="10"/>
        <v>-6.0026074440368289E-2</v>
      </c>
      <c r="K133" s="7">
        <f t="shared" si="11"/>
        <v>-4.0192624611060213E-2</v>
      </c>
    </row>
    <row r="134" spans="1:11" x14ac:dyDescent="0.25">
      <c r="A134">
        <v>19931</v>
      </c>
      <c r="B134" s="5">
        <v>2.1700000000000001E-2</v>
      </c>
      <c r="C134" s="6">
        <v>-1.5599999999999999E-2</v>
      </c>
      <c r="D134" s="7">
        <v>6.1000000000000004E-3</v>
      </c>
      <c r="I134" s="5">
        <f t="shared" si="9"/>
        <v>2.1700000000000001E-2</v>
      </c>
      <c r="J134" s="6">
        <f t="shared" si="10"/>
        <v>3.9656525356631993E-2</v>
      </c>
      <c r="K134" s="7">
        <f t="shared" si="11"/>
        <v>6.2217071956870873E-2</v>
      </c>
    </row>
    <row r="135" spans="1:11" x14ac:dyDescent="0.25">
      <c r="A135">
        <v>19924</v>
      </c>
      <c r="B135" s="5">
        <v>1.9800000000000002E-2</v>
      </c>
      <c r="C135" s="6">
        <v>-4.58E-2</v>
      </c>
      <c r="D135" s="7">
        <v>-2.5999999999999999E-2</v>
      </c>
      <c r="I135" s="5">
        <f t="shared" ref="I135:I166" si="12">+B135</f>
        <v>1.9800000000000002E-2</v>
      </c>
      <c r="J135" s="6">
        <f t="shared" ref="J135:J166" si="13">(C135-($C$2*C136))/(1-$C$2)</f>
        <v>-7.9649195996612313E-2</v>
      </c>
      <c r="K135" s="7">
        <f t="shared" ref="K135:K166" si="14">(1+I135)*(1+J135)-1</f>
        <v>-6.1426250077345257E-2</v>
      </c>
    </row>
    <row r="136" spans="1:11" x14ac:dyDescent="0.25">
      <c r="A136">
        <v>19923</v>
      </c>
      <c r="B136" s="5">
        <v>0.02</v>
      </c>
      <c r="C136" s="6">
        <v>-2.7300000000000001E-2</v>
      </c>
      <c r="D136" s="7">
        <v>-7.3000000000000001E-3</v>
      </c>
      <c r="I136" s="5">
        <f t="shared" si="12"/>
        <v>0.02</v>
      </c>
      <c r="J136" s="6">
        <f t="shared" si="13"/>
        <v>-2.7482968627008726E-2</v>
      </c>
      <c r="K136" s="7">
        <f t="shared" si="14"/>
        <v>-8.032627999548847E-3</v>
      </c>
    </row>
    <row r="137" spans="1:11" x14ac:dyDescent="0.25">
      <c r="A137">
        <v>19922</v>
      </c>
      <c r="B137" s="5">
        <v>1.9800000000000002E-2</v>
      </c>
      <c r="C137" s="6">
        <v>-2.7199999999999998E-2</v>
      </c>
      <c r="D137" s="7">
        <v>-7.4000000000000003E-3</v>
      </c>
      <c r="I137" s="5">
        <f t="shared" si="12"/>
        <v>1.9800000000000002E-2</v>
      </c>
      <c r="J137" s="6">
        <f t="shared" si="13"/>
        <v>-3.2140152929235305E-2</v>
      </c>
      <c r="K137" s="7">
        <f t="shared" si="14"/>
        <v>-1.2976527957234141E-2</v>
      </c>
    </row>
    <row r="138" spans="1:11" x14ac:dyDescent="0.25">
      <c r="A138">
        <v>19921</v>
      </c>
      <c r="B138" s="5">
        <v>1.9800000000000002E-2</v>
      </c>
      <c r="C138" s="6">
        <v>-2.4500000000000001E-2</v>
      </c>
      <c r="D138" s="7">
        <v>-4.5999999999999999E-3</v>
      </c>
      <c r="I138" s="5">
        <f t="shared" si="12"/>
        <v>1.9800000000000002E-2</v>
      </c>
      <c r="J138" s="6">
        <f t="shared" si="13"/>
        <v>3.4049960642788861E-2</v>
      </c>
      <c r="K138" s="7">
        <f t="shared" si="14"/>
        <v>5.4524149863516058E-2</v>
      </c>
    </row>
    <row r="139" spans="1:11" x14ac:dyDescent="0.25">
      <c r="A139">
        <v>19914</v>
      </c>
      <c r="B139" s="5">
        <v>1.84E-2</v>
      </c>
      <c r="C139" s="6">
        <v>-5.6500000000000002E-2</v>
      </c>
      <c r="D139" s="7">
        <v>-3.7999999999999999E-2</v>
      </c>
      <c r="I139" s="5">
        <f t="shared" si="12"/>
        <v>1.84E-2</v>
      </c>
      <c r="J139" s="6">
        <f t="shared" si="13"/>
        <v>-0.1128543371186843</v>
      </c>
      <c r="K139" s="7">
        <f t="shared" si="14"/>
        <v>-9.6530856921668073E-2</v>
      </c>
    </row>
    <row r="140" spans="1:11" x14ac:dyDescent="0.25">
      <c r="A140">
        <v>19913</v>
      </c>
      <c r="B140" s="5">
        <v>1.8700000000000001E-2</v>
      </c>
      <c r="C140" s="6">
        <v>-2.5700000000000001E-2</v>
      </c>
      <c r="D140" s="7">
        <v>-7.0000000000000001E-3</v>
      </c>
      <c r="I140" s="5">
        <f t="shared" si="12"/>
        <v>1.8700000000000001E-2</v>
      </c>
      <c r="J140" s="6">
        <f t="shared" si="13"/>
        <v>-5.0949670527202708E-2</v>
      </c>
      <c r="K140" s="7">
        <f t="shared" si="14"/>
        <v>-3.3202429366061437E-2</v>
      </c>
    </row>
    <row r="141" spans="1:11" x14ac:dyDescent="0.25">
      <c r="A141">
        <v>19912</v>
      </c>
      <c r="B141" s="5">
        <v>1.89E-2</v>
      </c>
      <c r="C141" s="6">
        <v>-1.1900000000000001E-2</v>
      </c>
      <c r="D141" s="7">
        <v>7.0000000000000001E-3</v>
      </c>
      <c r="I141" s="5">
        <f t="shared" si="12"/>
        <v>1.89E-2</v>
      </c>
      <c r="J141" s="6">
        <f t="shared" si="13"/>
        <v>7.2483526360135055E-4</v>
      </c>
      <c r="K141" s="7">
        <f t="shared" si="14"/>
        <v>1.9638534650083361E-2</v>
      </c>
    </row>
    <row r="142" spans="1:11" x14ac:dyDescent="0.25">
      <c r="A142">
        <v>19911</v>
      </c>
      <c r="B142" s="5">
        <v>1.8200000000000001E-2</v>
      </c>
      <c r="C142" s="6">
        <v>-1.8800000000000001E-2</v>
      </c>
      <c r="D142" s="7">
        <v>-5.9999999999999995E-4</v>
      </c>
      <c r="I142" s="5">
        <f t="shared" si="12"/>
        <v>1.8200000000000001E-2</v>
      </c>
      <c r="J142" s="6">
        <f t="shared" si="13"/>
        <v>5.3518587651504067E-3</v>
      </c>
      <c r="K142" s="7">
        <f t="shared" si="14"/>
        <v>2.3649262594676257E-2</v>
      </c>
    </row>
    <row r="143" spans="1:11" x14ac:dyDescent="0.25">
      <c r="A143">
        <v>19904</v>
      </c>
      <c r="B143" s="5">
        <v>1.8800000000000001E-2</v>
      </c>
      <c r="C143" s="6">
        <v>-3.2000000000000001E-2</v>
      </c>
      <c r="D143" s="7">
        <v>-1.3100000000000001E-2</v>
      </c>
      <c r="I143" s="5">
        <f t="shared" si="12"/>
        <v>1.8800000000000001E-2</v>
      </c>
      <c r="J143" s="6">
        <f t="shared" si="13"/>
        <v>-6.8959662655760479E-2</v>
      </c>
      <c r="K143" s="7">
        <f t="shared" si="14"/>
        <v>-5.1456104313688855E-2</v>
      </c>
    </row>
    <row r="144" spans="1:11" x14ac:dyDescent="0.25">
      <c r="A144">
        <v>19903</v>
      </c>
      <c r="B144" s="5">
        <v>1.7399999999999999E-2</v>
      </c>
      <c r="C144" s="6">
        <v>-1.18E-2</v>
      </c>
      <c r="D144" s="7">
        <v>5.7000000000000002E-3</v>
      </c>
      <c r="I144" s="5">
        <f t="shared" si="12"/>
        <v>1.7399999999999999E-2</v>
      </c>
      <c r="J144" s="6">
        <f t="shared" si="13"/>
        <v>-2.698639604172336E-2</v>
      </c>
      <c r="K144" s="7">
        <f t="shared" si="14"/>
        <v>-1.0055959332849307E-2</v>
      </c>
    </row>
    <row r="145" spans="1:11" x14ac:dyDescent="0.25">
      <c r="A145">
        <v>19902</v>
      </c>
      <c r="B145" s="5">
        <v>1.84E-2</v>
      </c>
      <c r="C145" s="6">
        <v>-3.5000000000000001E-3</v>
      </c>
      <c r="D145" s="7">
        <v>1.49E-2</v>
      </c>
      <c r="I145" s="5">
        <f t="shared" si="12"/>
        <v>1.84E-2</v>
      </c>
      <c r="J145" s="6">
        <f t="shared" si="13"/>
        <v>8.9124704820916524E-4</v>
      </c>
      <c r="K145" s="7">
        <f t="shared" si="14"/>
        <v>1.9307645993896116E-2</v>
      </c>
    </row>
    <row r="146" spans="1:11" x14ac:dyDescent="0.25">
      <c r="A146">
        <v>19901</v>
      </c>
      <c r="B146" s="5">
        <v>1.7999999999999999E-2</v>
      </c>
      <c r="C146" s="6">
        <v>-5.8999999999999999E-3</v>
      </c>
      <c r="D146" s="7">
        <v>1.21E-2</v>
      </c>
      <c r="I146" s="5">
        <f t="shared" si="12"/>
        <v>1.7999999999999999E-2</v>
      </c>
      <c r="J146" s="6">
        <f t="shared" si="13"/>
        <v>-1.541436860445319E-2</v>
      </c>
      <c r="K146" s="7">
        <f t="shared" si="14"/>
        <v>2.308172760666638E-3</v>
      </c>
    </row>
    <row r="147" spans="1:11" x14ac:dyDescent="0.25">
      <c r="A147">
        <v>19894</v>
      </c>
      <c r="B147" s="5">
        <v>1.7500000000000002E-2</v>
      </c>
      <c r="C147" s="6">
        <v>-6.9999999999999999E-4</v>
      </c>
      <c r="D147" s="7">
        <v>1.67E-2</v>
      </c>
      <c r="I147" s="5">
        <f t="shared" si="12"/>
        <v>1.7500000000000002E-2</v>
      </c>
      <c r="J147" s="6">
        <f t="shared" si="13"/>
        <v>-2.1558423478993533E-2</v>
      </c>
      <c r="K147" s="7">
        <f t="shared" si="14"/>
        <v>-4.4356958898758014E-3</v>
      </c>
    </row>
    <row r="148" spans="1:11" x14ac:dyDescent="0.25">
      <c r="A148">
        <v>19893</v>
      </c>
      <c r="B148" s="5">
        <v>1.7899999999999999E-2</v>
      </c>
      <c r="C148" s="6">
        <v>1.0699999999999999E-2</v>
      </c>
      <c r="D148" s="7">
        <v>2.86E-2</v>
      </c>
      <c r="I148" s="5">
        <f t="shared" si="12"/>
        <v>1.7899999999999999E-2</v>
      </c>
      <c r="J148" s="6">
        <f t="shared" si="13"/>
        <v>2.8813894073862808E-2</v>
      </c>
      <c r="K148" s="7">
        <f t="shared" si="14"/>
        <v>4.7229662777784842E-2</v>
      </c>
    </row>
    <row r="149" spans="1:11" x14ac:dyDescent="0.25">
      <c r="A149">
        <v>19892</v>
      </c>
      <c r="B149" s="5">
        <v>1.78E-2</v>
      </c>
      <c r="C149" s="6">
        <v>8.0000000000000004E-4</v>
      </c>
      <c r="D149" s="7">
        <v>1.8599999999999998E-2</v>
      </c>
      <c r="I149" s="5">
        <f t="shared" si="12"/>
        <v>1.78E-2</v>
      </c>
      <c r="J149" s="6">
        <f t="shared" si="13"/>
        <v>-1.3956235241045826E-3</v>
      </c>
      <c r="K149" s="7">
        <f t="shared" si="14"/>
        <v>1.6379534377166438E-2</v>
      </c>
    </row>
    <row r="150" spans="1:11" x14ac:dyDescent="0.25">
      <c r="A150">
        <v>19891</v>
      </c>
      <c r="B150" s="5">
        <v>1.89E-2</v>
      </c>
      <c r="C150" s="6">
        <v>2E-3</v>
      </c>
      <c r="D150" s="7">
        <v>2.0899999999999998E-2</v>
      </c>
      <c r="I150" s="5">
        <f t="shared" si="12"/>
        <v>1.89E-2</v>
      </c>
      <c r="J150" s="6">
        <f t="shared" si="13"/>
        <v>-5.6846823343660383E-3</v>
      </c>
      <c r="K150" s="7">
        <f t="shared" si="14"/>
        <v>1.3107877169514337E-2</v>
      </c>
    </row>
    <row r="151" spans="1:11" x14ac:dyDescent="0.25">
      <c r="A151">
        <v>19884</v>
      </c>
      <c r="B151" s="5">
        <v>1.8100000000000002E-2</v>
      </c>
      <c r="C151" s="6">
        <v>6.1999999999999998E-3</v>
      </c>
      <c r="D151" s="7">
        <v>2.4299999999999999E-2</v>
      </c>
      <c r="I151" s="5">
        <f t="shared" si="12"/>
        <v>1.8100000000000002E-2</v>
      </c>
      <c r="J151" s="6">
        <f t="shared" si="13"/>
        <v>1.4428156977734031E-3</v>
      </c>
      <c r="K151" s="7">
        <f t="shared" si="14"/>
        <v>1.9568930661903128E-2</v>
      </c>
    </row>
    <row r="152" spans="1:11" x14ac:dyDescent="0.25">
      <c r="A152">
        <v>19883</v>
      </c>
      <c r="B152" s="5">
        <v>1.8499999999999999E-2</v>
      </c>
      <c r="C152" s="6">
        <v>8.8000000000000005E-3</v>
      </c>
      <c r="D152" s="7">
        <v>2.7400000000000001E-2</v>
      </c>
      <c r="I152" s="5">
        <f t="shared" si="12"/>
        <v>1.8499999999999999E-2</v>
      </c>
      <c r="J152" s="6">
        <f t="shared" si="13"/>
        <v>2.3620458787705936E-2</v>
      </c>
      <c r="K152" s="7">
        <f t="shared" si="14"/>
        <v>4.2557437275278609E-2</v>
      </c>
    </row>
    <row r="153" spans="1:11" x14ac:dyDescent="0.25">
      <c r="A153">
        <v>19882</v>
      </c>
      <c r="B153" s="5">
        <v>1.9199999999999998E-2</v>
      </c>
      <c r="C153" s="6">
        <v>6.9999999999999999E-4</v>
      </c>
      <c r="D153" s="7">
        <v>1.9900000000000001E-2</v>
      </c>
      <c r="I153" s="5">
        <f t="shared" si="12"/>
        <v>1.9199999999999998E-2</v>
      </c>
      <c r="J153" s="6">
        <f t="shared" si="13"/>
        <v>-7.1676509613747543E-3</v>
      </c>
      <c r="K153" s="7">
        <f t="shared" si="14"/>
        <v>1.1894730140167065E-2</v>
      </c>
    </row>
    <row r="154" spans="1:11" x14ac:dyDescent="0.25">
      <c r="A154">
        <v>19881</v>
      </c>
      <c r="B154" s="5">
        <v>1.8800000000000001E-2</v>
      </c>
      <c r="C154" s="6">
        <v>5.0000000000000001E-3</v>
      </c>
      <c r="D154" s="7">
        <v>2.3800000000000002E-2</v>
      </c>
      <c r="I154" s="5">
        <f t="shared" si="12"/>
        <v>1.8800000000000001E-2</v>
      </c>
      <c r="J154" s="6">
        <f t="shared" si="13"/>
        <v>-5.6121803665054827E-3</v>
      </c>
      <c r="K154" s="7">
        <f t="shared" si="14"/>
        <v>1.3082310642604122E-2</v>
      </c>
    </row>
    <row r="155" spans="1:11" x14ac:dyDescent="0.25">
      <c r="A155">
        <v>19874</v>
      </c>
      <c r="B155" s="5">
        <v>1.9E-2</v>
      </c>
      <c r="C155" s="6">
        <v>1.0800000000000001E-2</v>
      </c>
      <c r="D155" s="7">
        <v>2.98E-2</v>
      </c>
      <c r="I155" s="5">
        <f t="shared" si="12"/>
        <v>1.9E-2</v>
      </c>
      <c r="J155" s="6">
        <f t="shared" si="13"/>
        <v>2.0131399977444477E-2</v>
      </c>
      <c r="K155" s="7">
        <f t="shared" si="14"/>
        <v>3.951389657701565E-2</v>
      </c>
    </row>
    <row r="156" spans="1:11" x14ac:dyDescent="0.25">
      <c r="A156">
        <v>19873</v>
      </c>
      <c r="B156" s="5">
        <v>1.9300000000000001E-2</v>
      </c>
      <c r="C156" s="6">
        <v>5.7000000000000002E-3</v>
      </c>
      <c r="D156" s="7">
        <v>2.5000000000000001E-2</v>
      </c>
      <c r="I156" s="5">
        <f t="shared" si="12"/>
        <v>1.9300000000000001E-2</v>
      </c>
      <c r="J156" s="6">
        <f t="shared" si="13"/>
        <v>2.0520458787705934E-2</v>
      </c>
      <c r="K156" s="7">
        <f t="shared" si="14"/>
        <v>4.0216503642308776E-2</v>
      </c>
    </row>
    <row r="157" spans="1:11" x14ac:dyDescent="0.25">
      <c r="A157">
        <v>19872</v>
      </c>
      <c r="B157" s="5">
        <v>1.9400000000000001E-2</v>
      </c>
      <c r="C157" s="6">
        <v>-2.3999999999999998E-3</v>
      </c>
      <c r="D157" s="7">
        <v>1.6899999999999998E-2</v>
      </c>
      <c r="I157" s="5">
        <f t="shared" si="12"/>
        <v>1.9400000000000001E-2</v>
      </c>
      <c r="J157" s="6">
        <f t="shared" si="13"/>
        <v>-1.5573741144627494E-2</v>
      </c>
      <c r="K157" s="7">
        <f t="shared" si="14"/>
        <v>3.5241282771667493E-3</v>
      </c>
    </row>
    <row r="158" spans="1:11" x14ac:dyDescent="0.25">
      <c r="A158">
        <v>19871</v>
      </c>
      <c r="B158" s="5">
        <v>1.9E-2</v>
      </c>
      <c r="C158" s="6">
        <v>4.7999999999999996E-3</v>
      </c>
      <c r="D158" s="7">
        <v>2.3699999999999999E-2</v>
      </c>
      <c r="I158" s="5">
        <f t="shared" si="12"/>
        <v>1.9E-2</v>
      </c>
      <c r="J158" s="6">
        <f t="shared" si="13"/>
        <v>8.093435286156872E-3</v>
      </c>
      <c r="K158" s="7">
        <f t="shared" si="14"/>
        <v>2.7247210556593737E-2</v>
      </c>
    </row>
    <row r="159" spans="1:11" x14ac:dyDescent="0.25">
      <c r="A159">
        <v>19864</v>
      </c>
      <c r="B159" s="5">
        <v>1.9099999999999999E-2</v>
      </c>
      <c r="C159" s="6">
        <v>3.0000000000000001E-3</v>
      </c>
      <c r="D159" s="7">
        <v>2.2100000000000002E-2</v>
      </c>
      <c r="I159" s="5">
        <f t="shared" si="12"/>
        <v>1.9099999999999999E-2</v>
      </c>
      <c r="J159" s="6">
        <f t="shared" si="13"/>
        <v>7.3912470482091659E-3</v>
      </c>
      <c r="K159" s="7">
        <f t="shared" si="14"/>
        <v>2.6632419866829737E-2</v>
      </c>
    </row>
    <row r="160" spans="1:11" x14ac:dyDescent="0.25">
      <c r="A160">
        <v>19863</v>
      </c>
      <c r="B160" s="5">
        <v>1.9E-2</v>
      </c>
      <c r="C160" s="6">
        <v>5.9999999999999995E-4</v>
      </c>
      <c r="D160" s="7">
        <v>1.9599999999999999E-2</v>
      </c>
      <c r="I160" s="5">
        <f t="shared" si="12"/>
        <v>1.9E-2</v>
      </c>
      <c r="J160" s="6">
        <f t="shared" si="13"/>
        <v>-4.1571843022265966E-3</v>
      </c>
      <c r="K160" s="7">
        <f t="shared" si="14"/>
        <v>1.4763829196031031E-2</v>
      </c>
    </row>
    <row r="161" spans="1:11" x14ac:dyDescent="0.25">
      <c r="A161">
        <v>19862</v>
      </c>
      <c r="B161" s="5">
        <v>1.95E-2</v>
      </c>
      <c r="C161" s="6">
        <v>3.2000000000000002E-3</v>
      </c>
      <c r="D161" s="7">
        <v>2.2700000000000001E-2</v>
      </c>
      <c r="I161" s="5">
        <f t="shared" si="12"/>
        <v>1.95E-2</v>
      </c>
      <c r="J161" s="6">
        <f t="shared" si="13"/>
        <v>7.957184302226597E-3</v>
      </c>
      <c r="K161" s="7">
        <f t="shared" si="14"/>
        <v>2.7612349396120006E-2</v>
      </c>
    </row>
    <row r="162" spans="1:11" x14ac:dyDescent="0.25">
      <c r="A162">
        <v>19861</v>
      </c>
      <c r="B162" s="5">
        <v>1.9199999999999998E-2</v>
      </c>
      <c r="C162" s="6">
        <v>5.9999999999999995E-4</v>
      </c>
      <c r="D162" s="7">
        <v>1.9699999999999999E-2</v>
      </c>
      <c r="I162" s="5">
        <f t="shared" si="12"/>
        <v>1.9199999999999998E-2</v>
      </c>
      <c r="J162" s="6">
        <f t="shared" si="13"/>
        <v>-2.46496705272027E-2</v>
      </c>
      <c r="K162" s="7">
        <f t="shared" si="14"/>
        <v>-5.9229442013248867E-3</v>
      </c>
    </row>
    <row r="163" spans="1:11" x14ac:dyDescent="0.25">
      <c r="A163">
        <v>19854</v>
      </c>
      <c r="B163" s="5">
        <v>1.9400000000000001E-2</v>
      </c>
      <c r="C163" s="6">
        <v>1.44E-2</v>
      </c>
      <c r="D163" s="7">
        <v>3.3799999999999997E-2</v>
      </c>
      <c r="I163" s="5">
        <f t="shared" si="12"/>
        <v>1.9400000000000001E-2</v>
      </c>
      <c r="J163" s="6">
        <f t="shared" si="13"/>
        <v>1.9523121556244027E-2</v>
      </c>
      <c r="K163" s="7">
        <f t="shared" si="14"/>
        <v>3.9301870114435422E-2</v>
      </c>
    </row>
    <row r="164" spans="1:11" x14ac:dyDescent="0.25">
      <c r="A164">
        <v>19853</v>
      </c>
      <c r="B164" s="5">
        <v>0.02</v>
      </c>
      <c r="C164" s="6">
        <v>1.1599999999999999E-2</v>
      </c>
      <c r="D164" s="7">
        <v>3.1600000000000003E-2</v>
      </c>
      <c r="I164" s="5">
        <f t="shared" si="12"/>
        <v>0.02</v>
      </c>
      <c r="J164" s="6">
        <f t="shared" si="13"/>
        <v>2.6786396041723358E-2</v>
      </c>
      <c r="K164" s="7">
        <f t="shared" si="14"/>
        <v>4.732212396255786E-2</v>
      </c>
    </row>
    <row r="165" spans="1:11" x14ac:dyDescent="0.25">
      <c r="A165">
        <v>19852</v>
      </c>
      <c r="B165" s="5">
        <v>2.0299999999999999E-2</v>
      </c>
      <c r="C165" s="6">
        <v>3.3E-3</v>
      </c>
      <c r="D165" s="7">
        <v>2.3599999999999999E-2</v>
      </c>
      <c r="I165" s="5">
        <f t="shared" si="12"/>
        <v>2.0299999999999999E-2</v>
      </c>
      <c r="J165" s="6">
        <f t="shared" si="13"/>
        <v>-7.1292117394967649E-3</v>
      </c>
      <c r="K165" s="7">
        <f t="shared" si="14"/>
        <v>1.3026065262191411E-2</v>
      </c>
    </row>
    <row r="166" spans="1:11" x14ac:dyDescent="0.25">
      <c r="A166">
        <v>19851</v>
      </c>
      <c r="B166" s="5">
        <v>1.9199999999999998E-2</v>
      </c>
      <c r="C166" s="6">
        <v>8.9999999999999993E-3</v>
      </c>
      <c r="D166" s="7">
        <v>2.8199999999999999E-2</v>
      </c>
      <c r="I166" s="5">
        <f t="shared" si="12"/>
        <v>1.9199999999999998E-2</v>
      </c>
      <c r="J166" s="6">
        <f t="shared" si="13"/>
        <v>-2.5270235015490573E-3</v>
      </c>
      <c r="K166" s="7">
        <f t="shared" si="14"/>
        <v>1.6624457647221202E-2</v>
      </c>
    </row>
    <row r="167" spans="1:11" x14ac:dyDescent="0.25">
      <c r="A167">
        <v>19844</v>
      </c>
      <c r="B167" s="5">
        <v>1.9599999999999999E-2</v>
      </c>
      <c r="C167" s="6">
        <v>1.5299999999999999E-2</v>
      </c>
      <c r="D167" s="7">
        <v>3.5000000000000003E-2</v>
      </c>
      <c r="I167" s="5">
        <f t="shared" ref="I167:I194" si="15">+B167</f>
        <v>1.9599999999999999E-2</v>
      </c>
      <c r="J167" s="6">
        <f t="shared" ref="J167:J194" si="16">(C167-($C$2*C168))/(1-$C$2)</f>
        <v>2.4265462723427045E-2</v>
      </c>
      <c r="K167" s="7">
        <f t="shared" ref="K167:K194" si="17">(1+I167)*(1+J167)-1</f>
        <v>4.4341065792806278E-2</v>
      </c>
    </row>
    <row r="168" spans="1:11" x14ac:dyDescent="0.25">
      <c r="A168">
        <v>19843</v>
      </c>
      <c r="B168" s="5">
        <v>1.9199999999999998E-2</v>
      </c>
      <c r="C168" s="6">
        <v>1.04E-2</v>
      </c>
      <c r="D168" s="7">
        <v>2.9700000000000001E-2</v>
      </c>
      <c r="I168" s="5">
        <f t="shared" si="15"/>
        <v>1.9199999999999998E-2</v>
      </c>
      <c r="J168" s="6">
        <f t="shared" si="16"/>
        <v>1.1131874508034859E-2</v>
      </c>
      <c r="K168" s="7">
        <f t="shared" si="17"/>
        <v>3.0545606498589173E-2</v>
      </c>
    </row>
    <row r="169" spans="1:11" x14ac:dyDescent="0.25">
      <c r="A169">
        <v>19842</v>
      </c>
      <c r="B169" s="5">
        <v>1.9599999999999999E-2</v>
      </c>
      <c r="C169" s="6">
        <v>0.01</v>
      </c>
      <c r="D169" s="7">
        <v>2.9600000000000001E-2</v>
      </c>
      <c r="I169" s="5">
        <f t="shared" si="15"/>
        <v>1.9599999999999999E-2</v>
      </c>
      <c r="J169" s="6">
        <f t="shared" si="16"/>
        <v>1.400474530590387E-3</v>
      </c>
      <c r="K169" s="7">
        <f t="shared" si="17"/>
        <v>2.1027923831390183E-2</v>
      </c>
    </row>
    <row r="170" spans="1:11" x14ac:dyDescent="0.25">
      <c r="A170">
        <v>19841</v>
      </c>
      <c r="B170" s="5">
        <v>1.84E-2</v>
      </c>
      <c r="C170" s="6">
        <v>1.47E-2</v>
      </c>
      <c r="D170" s="7">
        <v>3.3099999999999997E-2</v>
      </c>
      <c r="I170" s="5">
        <f t="shared" si="15"/>
        <v>1.84E-2</v>
      </c>
      <c r="J170" s="6">
        <f t="shared" si="16"/>
        <v>-2.4272317552856332E-2</v>
      </c>
      <c r="K170" s="7">
        <f t="shared" si="17"/>
        <v>-6.3189281958289101E-3</v>
      </c>
    </row>
    <row r="171" spans="1:11" x14ac:dyDescent="0.25">
      <c r="A171">
        <v>19834</v>
      </c>
      <c r="B171" s="5">
        <v>1.9599999999999999E-2</v>
      </c>
      <c r="C171" s="6">
        <v>3.5999999999999997E-2</v>
      </c>
      <c r="D171" s="7">
        <v>5.5599999999999997E-2</v>
      </c>
      <c r="I171" s="5">
        <f t="shared" si="15"/>
        <v>1.9599999999999999E-2</v>
      </c>
      <c r="J171" s="6">
        <f t="shared" si="16"/>
        <v>9.0341682221588407E-2</v>
      </c>
      <c r="K171" s="7">
        <f t="shared" si="17"/>
        <v>0.11171237919313159</v>
      </c>
    </row>
    <row r="172" spans="1:11" x14ac:dyDescent="0.25">
      <c r="A172">
        <v>19833</v>
      </c>
      <c r="B172" s="5">
        <v>1.8499999999999999E-2</v>
      </c>
      <c r="C172" s="6">
        <v>6.3E-3</v>
      </c>
      <c r="D172" s="7">
        <v>2.4799999999999999E-2</v>
      </c>
      <c r="I172" s="5">
        <f t="shared" si="15"/>
        <v>1.8499999999999999E-2</v>
      </c>
      <c r="J172" s="6">
        <f t="shared" si="16"/>
        <v>9.9593725401743039E-3</v>
      </c>
      <c r="K172" s="7">
        <f t="shared" si="17"/>
        <v>2.8643620932167435E-2</v>
      </c>
    </row>
    <row r="173" spans="1:11" x14ac:dyDescent="0.25">
      <c r="A173">
        <v>19832</v>
      </c>
      <c r="B173" s="5">
        <v>1.95E-2</v>
      </c>
      <c r="C173" s="6">
        <v>4.3E-3</v>
      </c>
      <c r="D173" s="7">
        <v>2.3800000000000002E-2</v>
      </c>
      <c r="I173" s="5">
        <f t="shared" si="15"/>
        <v>1.95E-2</v>
      </c>
      <c r="J173" s="6">
        <f t="shared" si="16"/>
        <v>1.3448431350435762E-2</v>
      </c>
      <c r="K173" s="7">
        <f t="shared" si="17"/>
        <v>3.3210675761769393E-2</v>
      </c>
    </row>
    <row r="174" spans="1:11" x14ac:dyDescent="0.25">
      <c r="A174">
        <v>19831</v>
      </c>
      <c r="B174" s="5">
        <v>1.89E-2</v>
      </c>
      <c r="C174" s="6">
        <v>-6.9999999999999999E-4</v>
      </c>
      <c r="D174" s="7">
        <v>1.8200000000000001E-2</v>
      </c>
      <c r="I174" s="5">
        <f t="shared" si="15"/>
        <v>1.89E-2</v>
      </c>
      <c r="J174" s="6">
        <f t="shared" si="16"/>
        <v>-1.3873741144627494E-2</v>
      </c>
      <c r="K174" s="7">
        <f t="shared" si="17"/>
        <v>4.7640451477390933E-3</v>
      </c>
    </row>
    <row r="175" spans="1:11" x14ac:dyDescent="0.25">
      <c r="A175">
        <v>19824</v>
      </c>
      <c r="B175" s="5">
        <v>1.95E-2</v>
      </c>
      <c r="C175" s="6">
        <v>6.4999999999999997E-3</v>
      </c>
      <c r="D175" s="7">
        <v>2.5999999999999999E-2</v>
      </c>
      <c r="I175" s="5">
        <f t="shared" si="15"/>
        <v>1.95E-2</v>
      </c>
      <c r="J175" s="6">
        <f t="shared" si="16"/>
        <v>1.2903901945305031E-2</v>
      </c>
      <c r="K175" s="7">
        <f t="shared" si="17"/>
        <v>3.2655528033238568E-2</v>
      </c>
    </row>
    <row r="176" spans="1:11" x14ac:dyDescent="0.25">
      <c r="A176">
        <v>19823</v>
      </c>
      <c r="B176" s="5">
        <v>2.0299999999999999E-2</v>
      </c>
      <c r="C176" s="6">
        <v>3.0000000000000001E-3</v>
      </c>
      <c r="D176" s="7">
        <v>2.3300000000000001E-2</v>
      </c>
      <c r="I176" s="5">
        <f t="shared" si="15"/>
        <v>2.0299999999999999E-2</v>
      </c>
      <c r="J176" s="6">
        <f t="shared" si="16"/>
        <v>1.3532823569215641E-3</v>
      </c>
      <c r="K176" s="7">
        <f t="shared" si="17"/>
        <v>2.1680753988767121E-2</v>
      </c>
    </row>
    <row r="177" spans="1:11" x14ac:dyDescent="0.25">
      <c r="A177">
        <v>19822</v>
      </c>
      <c r="B177" s="5">
        <v>1.9599999999999999E-2</v>
      </c>
      <c r="C177" s="6">
        <v>3.8999999999999998E-3</v>
      </c>
      <c r="D177" s="7">
        <v>2.35E-2</v>
      </c>
      <c r="I177" s="5">
        <f t="shared" si="15"/>
        <v>1.9599999999999999E-2</v>
      </c>
      <c r="J177" s="6">
        <f t="shared" si="16"/>
        <v>5.5467176430784365E-3</v>
      </c>
      <c r="K177" s="7">
        <f t="shared" si="17"/>
        <v>2.5255433308882802E-2</v>
      </c>
    </row>
    <row r="178" spans="1:11" x14ac:dyDescent="0.25">
      <c r="A178">
        <v>19821</v>
      </c>
      <c r="B178" s="5">
        <v>1.9E-2</v>
      </c>
      <c r="C178" s="6">
        <v>3.0000000000000001E-3</v>
      </c>
      <c r="D178" s="7">
        <v>2.1999999999999999E-2</v>
      </c>
      <c r="I178" s="5">
        <f t="shared" si="15"/>
        <v>1.9E-2</v>
      </c>
      <c r="J178" s="6">
        <f t="shared" si="16"/>
        <v>-3.5423411671830198E-2</v>
      </c>
      <c r="K178" s="7">
        <f t="shared" si="17"/>
        <v>-1.7096456493595036E-2</v>
      </c>
    </row>
    <row r="179" spans="1:11" x14ac:dyDescent="0.25">
      <c r="A179">
        <v>19814</v>
      </c>
      <c r="B179" s="5">
        <v>1.9099999999999999E-2</v>
      </c>
      <c r="C179" s="6">
        <v>2.4E-2</v>
      </c>
      <c r="D179" s="7">
        <v>4.3099999999999999E-2</v>
      </c>
      <c r="I179" s="5">
        <f t="shared" si="15"/>
        <v>1.9099999999999999E-2</v>
      </c>
      <c r="J179" s="6">
        <f t="shared" si="16"/>
        <v>2.4548905881026151E-2</v>
      </c>
      <c r="K179" s="7">
        <f t="shared" si="17"/>
        <v>4.4117789983353806E-2</v>
      </c>
    </row>
    <row r="180" spans="1:11" x14ac:dyDescent="0.25">
      <c r="A180">
        <v>19813</v>
      </c>
      <c r="B180" s="5">
        <v>0.02</v>
      </c>
      <c r="C180" s="6">
        <v>2.3699999999999999E-2</v>
      </c>
      <c r="D180" s="7">
        <v>4.3700000000000003E-2</v>
      </c>
      <c r="I180" s="5">
        <f t="shared" si="15"/>
        <v>0.02</v>
      </c>
      <c r="J180" s="6">
        <f t="shared" si="16"/>
        <v>3.3580305858470619E-2</v>
      </c>
      <c r="K180" s="7">
        <f t="shared" si="17"/>
        <v>5.4251911975640166E-2</v>
      </c>
    </row>
    <row r="181" spans="1:11" x14ac:dyDescent="0.25">
      <c r="A181">
        <v>19812</v>
      </c>
      <c r="B181" s="5">
        <v>2.07E-2</v>
      </c>
      <c r="C181" s="6">
        <v>1.83E-2</v>
      </c>
      <c r="D181" s="7">
        <v>3.9E-2</v>
      </c>
      <c r="I181" s="5">
        <f t="shared" si="15"/>
        <v>2.07E-2</v>
      </c>
      <c r="J181" s="6">
        <f t="shared" si="16"/>
        <v>1.8117031372991286E-2</v>
      </c>
      <c r="K181" s="7">
        <f t="shared" si="17"/>
        <v>3.9192053922412207E-2</v>
      </c>
    </row>
    <row r="182" spans="1:11" x14ac:dyDescent="0.25">
      <c r="A182">
        <v>19811</v>
      </c>
      <c r="B182" s="5">
        <v>2.0799999999999999E-2</v>
      </c>
      <c r="C182" s="6">
        <v>1.84E-2</v>
      </c>
      <c r="D182" s="7">
        <v>3.9199999999999999E-2</v>
      </c>
      <c r="I182" s="5">
        <f t="shared" si="15"/>
        <v>2.0799999999999999E-2</v>
      </c>
      <c r="J182" s="6">
        <f t="shared" si="16"/>
        <v>-8.49638817028113E-3</v>
      </c>
      <c r="K182" s="7">
        <f t="shared" si="17"/>
        <v>1.2126886955776905E-2</v>
      </c>
    </row>
    <row r="183" spans="1:11" x14ac:dyDescent="0.25">
      <c r="A183">
        <v>19804</v>
      </c>
      <c r="B183" s="5">
        <v>2.12E-2</v>
      </c>
      <c r="C183" s="6">
        <v>3.3099999999999997E-2</v>
      </c>
      <c r="D183" s="7">
        <v>5.4399999999999997E-2</v>
      </c>
      <c r="I183" s="5">
        <f t="shared" si="15"/>
        <v>2.12E-2</v>
      </c>
      <c r="J183" s="6">
        <f t="shared" si="16"/>
        <v>6.3472792083446722E-2</v>
      </c>
      <c r="K183" s="7">
        <f t="shared" si="17"/>
        <v>8.6018415275616045E-2</v>
      </c>
    </row>
    <row r="184" spans="1:11" x14ac:dyDescent="0.25">
      <c r="A184">
        <v>19803</v>
      </c>
      <c r="B184" s="5">
        <v>2.06E-2</v>
      </c>
      <c r="C184" s="6">
        <v>1.6500000000000001E-2</v>
      </c>
      <c r="D184" s="7">
        <v>3.7100000000000001E-2</v>
      </c>
      <c r="I184" s="5">
        <f t="shared" si="15"/>
        <v>2.06E-2</v>
      </c>
      <c r="J184" s="6">
        <f t="shared" si="16"/>
        <v>4.1383733273185272E-2</v>
      </c>
      <c r="K184" s="7">
        <f t="shared" si="17"/>
        <v>6.2836238178612724E-2</v>
      </c>
    </row>
    <row r="185" spans="1:11" x14ac:dyDescent="0.25">
      <c r="A185">
        <v>19802</v>
      </c>
      <c r="B185" s="5">
        <v>2.1000000000000001E-2</v>
      </c>
      <c r="C185" s="6">
        <v>2.8999999999999998E-3</v>
      </c>
      <c r="D185" s="7">
        <v>2.3900000000000001E-2</v>
      </c>
      <c r="I185" s="5">
        <f t="shared" si="15"/>
        <v>2.1000000000000001E-2</v>
      </c>
      <c r="J185" s="6">
        <f t="shared" si="16"/>
        <v>-2.4545294051307284E-2</v>
      </c>
      <c r="K185" s="7">
        <f t="shared" si="17"/>
        <v>-4.0607452263847765E-3</v>
      </c>
    </row>
    <row r="186" spans="1:11" x14ac:dyDescent="0.25">
      <c r="A186">
        <v>19801</v>
      </c>
      <c r="B186" s="5">
        <v>2.0500000000000001E-2</v>
      </c>
      <c r="C186" s="6">
        <v>1.7899999999999999E-2</v>
      </c>
      <c r="D186" s="7">
        <v>3.85E-2</v>
      </c>
      <c r="I186" s="5">
        <f t="shared" si="15"/>
        <v>2.0500000000000001E-2</v>
      </c>
      <c r="J186" s="6">
        <f t="shared" si="16"/>
        <v>-2.7110282244143954E-2</v>
      </c>
      <c r="K186" s="7">
        <f t="shared" si="17"/>
        <v>-7.1660430301488942E-3</v>
      </c>
    </row>
    <row r="187" spans="1:11" x14ac:dyDescent="0.25">
      <c r="A187">
        <v>19794</v>
      </c>
      <c r="B187" s="5">
        <v>2.06E-2</v>
      </c>
      <c r="C187" s="6">
        <v>4.2500000000000003E-2</v>
      </c>
      <c r="D187" s="7">
        <v>6.3100000000000003E-2</v>
      </c>
      <c r="I187" s="5">
        <f t="shared" si="15"/>
        <v>2.06E-2</v>
      </c>
      <c r="J187" s="6">
        <f t="shared" si="16"/>
        <v>8.6961376363117807E-2</v>
      </c>
      <c r="K187" s="7">
        <f t="shared" si="17"/>
        <v>0.10935278071619803</v>
      </c>
    </row>
    <row r="188" spans="1:11" x14ac:dyDescent="0.25">
      <c r="A188">
        <v>19793</v>
      </c>
      <c r="B188" s="5">
        <v>2.1899999999999999E-2</v>
      </c>
      <c r="C188" s="6">
        <v>1.8200000000000001E-2</v>
      </c>
      <c r="D188" s="7">
        <v>4.0099999999999997E-2</v>
      </c>
      <c r="I188" s="5">
        <f t="shared" si="15"/>
        <v>2.1899999999999999E-2</v>
      </c>
      <c r="J188" s="6">
        <f t="shared" si="16"/>
        <v>8.13672551452067E-3</v>
      </c>
      <c r="K188" s="7">
        <f t="shared" si="17"/>
        <v>3.0214919803288609E-2</v>
      </c>
    </row>
    <row r="189" spans="1:11" x14ac:dyDescent="0.25">
      <c r="A189">
        <v>19792</v>
      </c>
      <c r="B189" s="5">
        <v>2.18E-2</v>
      </c>
      <c r="C189" s="6">
        <v>2.3699999999999999E-2</v>
      </c>
      <c r="D189" s="7">
        <v>4.5499999999999999E-2</v>
      </c>
      <c r="I189" s="5">
        <f t="shared" si="15"/>
        <v>2.18E-2</v>
      </c>
      <c r="J189" s="6">
        <f t="shared" si="16"/>
        <v>5.1877168559342136E-2</v>
      </c>
      <c r="K189" s="7">
        <f t="shared" si="17"/>
        <v>7.4808090833935914E-2</v>
      </c>
    </row>
    <row r="190" spans="1:11" x14ac:dyDescent="0.25">
      <c r="A190">
        <v>19791</v>
      </c>
      <c r="B190" s="5">
        <v>2.12E-2</v>
      </c>
      <c r="C190" s="6">
        <v>8.3000000000000001E-3</v>
      </c>
      <c r="D190" s="7">
        <v>2.9499999999999998E-2</v>
      </c>
      <c r="I190" s="5">
        <f t="shared" si="15"/>
        <v>2.12E-2</v>
      </c>
      <c r="J190" s="6">
        <f t="shared" si="16"/>
        <v>-3.4331690093030644E-2</v>
      </c>
      <c r="K190" s="7">
        <f t="shared" si="17"/>
        <v>-1.3859521923002771E-2</v>
      </c>
    </row>
    <row r="191" spans="1:11" x14ac:dyDescent="0.25">
      <c r="A191">
        <v>19784</v>
      </c>
      <c r="B191" s="5">
        <v>0.02</v>
      </c>
      <c r="C191" s="6">
        <v>3.1600000000000003E-2</v>
      </c>
      <c r="D191" s="7">
        <v>5.1499999999999997E-2</v>
      </c>
      <c r="I191" s="5">
        <f t="shared" si="15"/>
        <v>0.02</v>
      </c>
      <c r="J191" s="6">
        <f t="shared" si="16"/>
        <v>7.990371753030083E-2</v>
      </c>
      <c r="K191" s="7">
        <f t="shared" si="17"/>
        <v>0.10150179188090691</v>
      </c>
    </row>
    <row r="192" spans="1:11" x14ac:dyDescent="0.25">
      <c r="A192">
        <v>19783</v>
      </c>
      <c r="B192" s="5">
        <v>1.9E-2</v>
      </c>
      <c r="C192" s="6">
        <v>5.1999999999999998E-3</v>
      </c>
      <c r="D192" s="7">
        <v>2.4199999999999999E-2</v>
      </c>
      <c r="I192" s="5">
        <f t="shared" si="15"/>
        <v>1.9E-2</v>
      </c>
      <c r="J192" s="6">
        <f t="shared" si="16"/>
        <v>-1.5698391993224639E-3</v>
      </c>
      <c r="K192" s="7">
        <f t="shared" si="17"/>
        <v>1.7400333855890349E-2</v>
      </c>
    </row>
    <row r="193" spans="1:11" x14ac:dyDescent="0.25">
      <c r="A193">
        <v>19782</v>
      </c>
      <c r="B193" s="5">
        <v>1.9400000000000001E-2</v>
      </c>
      <c r="C193" s="6">
        <v>8.8999999999999999E-3</v>
      </c>
      <c r="D193" s="7">
        <v>2.8299999999999999E-2</v>
      </c>
      <c r="I193" s="5">
        <f t="shared" si="15"/>
        <v>1.9400000000000001E-2</v>
      </c>
      <c r="J193" s="6">
        <f t="shared" si="16"/>
        <v>7.9851568649564227E-3</v>
      </c>
      <c r="K193" s="7">
        <f t="shared" si="17"/>
        <v>2.754006890813665E-2</v>
      </c>
    </row>
    <row r="194" spans="1:11" x14ac:dyDescent="0.25">
      <c r="A194">
        <v>19781</v>
      </c>
      <c r="B194" s="8">
        <v>2.12E-2</v>
      </c>
      <c r="C194" s="9">
        <v>9.4000000000000004E-3</v>
      </c>
      <c r="D194" s="10">
        <v>3.0499999999999999E-2</v>
      </c>
      <c r="I194" s="8">
        <f t="shared" si="15"/>
        <v>2.12E-2</v>
      </c>
      <c r="J194" s="9">
        <f t="shared" si="16"/>
        <v>2.659905093881923E-2</v>
      </c>
      <c r="K194" s="10">
        <f t="shared" si="17"/>
        <v>4.8362950818722217E-2</v>
      </c>
    </row>
  </sheetData>
  <mergeCells count="8">
    <mergeCell ref="I5:K5"/>
    <mergeCell ref="M3:N3"/>
    <mergeCell ref="M4:N4"/>
    <mergeCell ref="A1:B1"/>
    <mergeCell ref="A2:B2"/>
    <mergeCell ref="B5:D5"/>
    <mergeCell ref="F3:G3"/>
    <mergeCell ref="F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4"/>
  <sheetViews>
    <sheetView workbookViewId="0">
      <selection sqref="A1:B1"/>
    </sheetView>
  </sheetViews>
  <sheetFormatPr defaultRowHeight="15" x14ac:dyDescent="0.25"/>
  <cols>
    <col min="1" max="4" width="12.7109375" customWidth="1"/>
    <col min="5" max="5" width="4.7109375" customWidth="1"/>
    <col min="6" max="7" width="12.7109375" customWidth="1"/>
    <col min="8" max="8" width="4.7109375" customWidth="1"/>
    <col min="9" max="11" width="12.7109375" customWidth="1"/>
    <col min="12" max="12" width="4.7109375" customWidth="1"/>
    <col min="13" max="17" width="12.7109375" customWidth="1"/>
  </cols>
  <sheetData>
    <row r="1" spans="1:14" x14ac:dyDescent="0.25">
      <c r="A1" s="41" t="s">
        <v>17</v>
      </c>
      <c r="B1" s="40"/>
      <c r="C1" s="15" t="s">
        <v>6</v>
      </c>
    </row>
    <row r="2" spans="1:14" x14ac:dyDescent="0.25">
      <c r="A2" s="39" t="s">
        <v>18</v>
      </c>
      <c r="B2" s="40"/>
      <c r="C2" s="18">
        <f>CORREL(C7:C86,C9:C88)</f>
        <v>0.74465111860259003</v>
      </c>
    </row>
    <row r="3" spans="1:14" x14ac:dyDescent="0.25">
      <c r="F3" s="36" t="s">
        <v>1</v>
      </c>
      <c r="G3" s="35"/>
      <c r="M3" s="36" t="s">
        <v>19</v>
      </c>
      <c r="N3" s="35"/>
    </row>
    <row r="4" spans="1:14" x14ac:dyDescent="0.25">
      <c r="F4" s="37">
        <f t="array" ref="F4">+(STDEV(D7:D86+1)*SQRT(4))</f>
        <v>6.2188162769192645E-2</v>
      </c>
      <c r="G4" s="38"/>
      <c r="M4" s="42">
        <f t="array" ref="M4">+(STDEV(K7:K86+1)*SQRT(4))</f>
        <v>0.12320215488719125</v>
      </c>
      <c r="N4" s="38"/>
    </row>
    <row r="5" spans="1:14" x14ac:dyDescent="0.25">
      <c r="B5" s="33" t="s">
        <v>20</v>
      </c>
      <c r="C5" s="34"/>
      <c r="D5" s="35"/>
      <c r="I5" s="33" t="s">
        <v>21</v>
      </c>
      <c r="J5" s="34"/>
      <c r="K5" s="35"/>
    </row>
    <row r="6" spans="1:14" x14ac:dyDescent="0.25">
      <c r="B6" s="2" t="s">
        <v>22</v>
      </c>
      <c r="C6" s="3" t="s">
        <v>23</v>
      </c>
      <c r="D6" s="4" t="s">
        <v>24</v>
      </c>
      <c r="I6" s="12" t="s">
        <v>22</v>
      </c>
      <c r="J6" s="13" t="s">
        <v>23</v>
      </c>
      <c r="K6" s="14" t="s">
        <v>24</v>
      </c>
    </row>
    <row r="7" spans="1:14" x14ac:dyDescent="0.25">
      <c r="A7">
        <v>20244</v>
      </c>
      <c r="B7" s="5">
        <v>1.46E-2</v>
      </c>
      <c r="C7" s="6">
        <v>-2.1600000000000001E-2</v>
      </c>
      <c r="D7" s="7">
        <v>-7.1000000000000004E-3</v>
      </c>
      <c r="I7" s="5">
        <f t="shared" ref="I7:I38" si="0">+B7</f>
        <v>1.46E-2</v>
      </c>
      <c r="J7" s="6">
        <f t="shared" ref="J7:J38" si="1">(C7-($C$2*C8))/(1-$C$2)</f>
        <v>-1.0810020722426679E-2</v>
      </c>
      <c r="K7" s="7">
        <f t="shared" ref="K7:K38" si="2">(1+I7)*(1+J7)-1</f>
        <v>3.6321529750258374E-3</v>
      </c>
    </row>
    <row r="8" spans="1:14" x14ac:dyDescent="0.25">
      <c r="A8">
        <v>20243</v>
      </c>
      <c r="B8" s="5">
        <v>1.4800000000000001E-2</v>
      </c>
      <c r="C8" s="6">
        <v>-2.53E-2</v>
      </c>
      <c r="D8" s="7">
        <v>-1.06E-2</v>
      </c>
      <c r="I8" s="5">
        <f t="shared" si="0"/>
        <v>1.4800000000000001E-2</v>
      </c>
      <c r="J8" s="6">
        <f t="shared" si="1"/>
        <v>1.3193980125396736E-2</v>
      </c>
      <c r="K8" s="7">
        <f t="shared" si="2"/>
        <v>2.8189251031252471E-2</v>
      </c>
    </row>
    <row r="9" spans="1:14" x14ac:dyDescent="0.25">
      <c r="A9">
        <v>20242</v>
      </c>
      <c r="B9" s="5">
        <v>1.4800000000000001E-2</v>
      </c>
      <c r="C9" s="6">
        <v>-3.85E-2</v>
      </c>
      <c r="D9" s="7">
        <v>-2.3599999999999999E-2</v>
      </c>
      <c r="I9" s="5">
        <f t="shared" si="0"/>
        <v>1.4800000000000001E-2</v>
      </c>
      <c r="J9" s="6">
        <f t="shared" si="1"/>
        <v>2.0353275562889949E-3</v>
      </c>
      <c r="K9" s="7">
        <f t="shared" si="2"/>
        <v>1.6865450404121907E-2</v>
      </c>
    </row>
    <row r="10" spans="1:14" x14ac:dyDescent="0.25">
      <c r="A10">
        <v>20241</v>
      </c>
      <c r="B10" s="5">
        <v>1.44E-2</v>
      </c>
      <c r="C10" s="6">
        <v>-5.2400000000000002E-2</v>
      </c>
      <c r="D10" s="7">
        <v>-3.7999999999999999E-2</v>
      </c>
      <c r="I10" s="5">
        <f t="shared" si="0"/>
        <v>1.44E-2</v>
      </c>
      <c r="J10" s="6">
        <f t="shared" si="1"/>
        <v>-9.2400828897066939E-3</v>
      </c>
      <c r="K10" s="7">
        <f t="shared" si="2"/>
        <v>5.0268599166816141E-3</v>
      </c>
    </row>
    <row r="11" spans="1:14" x14ac:dyDescent="0.25">
      <c r="A11">
        <v>20234</v>
      </c>
      <c r="B11" s="5">
        <v>1.32E-2</v>
      </c>
      <c r="C11" s="6">
        <v>-6.7199999999999996E-2</v>
      </c>
      <c r="D11" s="7">
        <v>-5.3900000000000003E-2</v>
      </c>
      <c r="I11" s="5">
        <f t="shared" si="0"/>
        <v>1.32E-2</v>
      </c>
      <c r="J11" s="6">
        <f t="shared" si="1"/>
        <v>-0.11735882258763816</v>
      </c>
      <c r="K11" s="7">
        <f t="shared" si="2"/>
        <v>-0.10570795904579489</v>
      </c>
    </row>
    <row r="12" spans="1:14" x14ac:dyDescent="0.25">
      <c r="A12">
        <v>20233</v>
      </c>
      <c r="B12" s="5">
        <v>1.2999999999999999E-2</v>
      </c>
      <c r="C12" s="6">
        <v>-0.05</v>
      </c>
      <c r="D12" s="7">
        <v>-3.6999999999999998E-2</v>
      </c>
      <c r="I12" s="5">
        <f t="shared" si="0"/>
        <v>1.2999999999999999E-2</v>
      </c>
      <c r="J12" s="6">
        <f t="shared" si="1"/>
        <v>8.6158333727631986E-3</v>
      </c>
      <c r="K12" s="7">
        <f t="shared" si="2"/>
        <v>2.1727839206609145E-2</v>
      </c>
    </row>
    <row r="13" spans="1:14" x14ac:dyDescent="0.25">
      <c r="A13">
        <v>20232</v>
      </c>
      <c r="B13" s="5">
        <v>1.2200000000000001E-2</v>
      </c>
      <c r="C13" s="6">
        <v>-7.0099999999999996E-2</v>
      </c>
      <c r="D13" s="7">
        <v>-5.79E-2</v>
      </c>
      <c r="I13" s="5">
        <f t="shared" si="0"/>
        <v>1.2200000000000001E-2</v>
      </c>
      <c r="J13" s="6">
        <f t="shared" si="1"/>
        <v>-0.12230017001853039</v>
      </c>
      <c r="K13" s="7">
        <f t="shared" si="2"/>
        <v>-0.11159223209275648</v>
      </c>
    </row>
    <row r="14" spans="1:14" x14ac:dyDescent="0.25">
      <c r="A14">
        <v>20231</v>
      </c>
      <c r="B14" s="5">
        <v>1.14E-2</v>
      </c>
      <c r="C14" s="6">
        <v>-5.2200000000000003E-2</v>
      </c>
      <c r="D14" s="7">
        <v>-4.0800000000000003E-2</v>
      </c>
      <c r="I14" s="5">
        <f t="shared" si="0"/>
        <v>1.14E-2</v>
      </c>
      <c r="J14" s="6">
        <f t="shared" si="1"/>
        <v>-3.4119494183525792E-2</v>
      </c>
      <c r="K14" s="7">
        <f t="shared" si="2"/>
        <v>-2.3108456417217926E-2</v>
      </c>
    </row>
    <row r="15" spans="1:14" x14ac:dyDescent="0.25">
      <c r="A15">
        <v>20224</v>
      </c>
      <c r="B15" s="5">
        <v>1.06E-2</v>
      </c>
      <c r="C15" s="6">
        <v>-5.8400000000000001E-2</v>
      </c>
      <c r="D15" s="7">
        <v>-4.7800000000000002E-2</v>
      </c>
      <c r="I15" s="5">
        <f t="shared" si="0"/>
        <v>1.06E-2</v>
      </c>
      <c r="J15" s="6">
        <f t="shared" si="1"/>
        <v>-0.17825625629953076</v>
      </c>
      <c r="K15" s="7">
        <f t="shared" si="2"/>
        <v>-0.16954577261630588</v>
      </c>
    </row>
    <row r="16" spans="1:14" x14ac:dyDescent="0.25">
      <c r="A16">
        <v>20223</v>
      </c>
      <c r="B16" s="5">
        <v>1.04E-2</v>
      </c>
      <c r="C16" s="6">
        <v>-1.7299999999999999E-2</v>
      </c>
      <c r="D16" s="7">
        <v>-6.8999999999999999E-3</v>
      </c>
      <c r="I16" s="5">
        <f t="shared" si="0"/>
        <v>1.04E-2</v>
      </c>
      <c r="J16" s="6">
        <f t="shared" si="1"/>
        <v>-5.3169390571392416E-2</v>
      </c>
      <c r="K16" s="7">
        <f t="shared" si="2"/>
        <v>-4.3322352233334915E-2</v>
      </c>
    </row>
    <row r="17" spans="1:11" x14ac:dyDescent="0.25">
      <c r="A17">
        <v>20222</v>
      </c>
      <c r="B17" s="5">
        <v>1.0800000000000001E-2</v>
      </c>
      <c r="C17" s="6">
        <v>-5.0000000000000001E-3</v>
      </c>
      <c r="D17" s="7">
        <v>5.7999999999999996E-3</v>
      </c>
      <c r="I17" s="5">
        <f t="shared" si="0"/>
        <v>1.0800000000000001E-2</v>
      </c>
      <c r="J17" s="6">
        <f t="shared" si="1"/>
        <v>-3.8244801017388093E-2</v>
      </c>
      <c r="K17" s="7">
        <f t="shared" si="2"/>
        <v>-2.7857844868376058E-2</v>
      </c>
    </row>
    <row r="18" spans="1:11" x14ac:dyDescent="0.25">
      <c r="A18">
        <v>20221</v>
      </c>
      <c r="B18" s="5">
        <v>1.06E-2</v>
      </c>
      <c r="C18" s="6">
        <v>6.4000000000000003E-3</v>
      </c>
      <c r="D18" s="7">
        <v>1.7000000000000001E-2</v>
      </c>
      <c r="I18" s="5">
        <f t="shared" si="0"/>
        <v>1.06E-2</v>
      </c>
      <c r="J18" s="6">
        <f t="shared" si="1"/>
        <v>8.1497263693362191E-3</v>
      </c>
      <c r="K18" s="7">
        <f t="shared" si="2"/>
        <v>1.8836113468851057E-2</v>
      </c>
    </row>
    <row r="19" spans="1:11" x14ac:dyDescent="0.25">
      <c r="A19">
        <v>20214</v>
      </c>
      <c r="B19" s="5">
        <v>1.06E-2</v>
      </c>
      <c r="C19" s="6">
        <v>5.7999999999999996E-3</v>
      </c>
      <c r="D19" s="7">
        <v>1.6400000000000001E-2</v>
      </c>
      <c r="I19" s="5">
        <f t="shared" si="0"/>
        <v>1.06E-2</v>
      </c>
      <c r="J19" s="6">
        <f t="shared" si="1"/>
        <v>2.5919983043531675E-4</v>
      </c>
      <c r="K19" s="7">
        <f t="shared" si="2"/>
        <v>1.0861947348637768E-2</v>
      </c>
    </row>
    <row r="20" spans="1:11" x14ac:dyDescent="0.25">
      <c r="A20">
        <v>20213</v>
      </c>
      <c r="B20" s="5">
        <v>1.11E-2</v>
      </c>
      <c r="C20" s="6">
        <v>7.7000000000000002E-3</v>
      </c>
      <c r="D20" s="7">
        <v>1.8800000000000001E-2</v>
      </c>
      <c r="I20" s="5">
        <f t="shared" si="0"/>
        <v>1.11E-2</v>
      </c>
      <c r="J20" s="6">
        <f t="shared" si="1"/>
        <v>2.1406189893133688E-2</v>
      </c>
      <c r="K20" s="7">
        <f t="shared" si="2"/>
        <v>3.274379860094756E-2</v>
      </c>
    </row>
    <row r="21" spans="1:11" x14ac:dyDescent="0.25">
      <c r="A21">
        <v>20212</v>
      </c>
      <c r="B21" s="5">
        <v>1.1299999999999999E-2</v>
      </c>
      <c r="C21" s="6">
        <v>3.0000000000000001E-3</v>
      </c>
      <c r="D21" s="7">
        <v>1.43E-2</v>
      </c>
      <c r="I21" s="5">
        <f t="shared" si="0"/>
        <v>1.1299999999999999E-2</v>
      </c>
      <c r="J21" s="6">
        <f t="shared" si="1"/>
        <v>1.6414568831577655E-2</v>
      </c>
      <c r="K21" s="7">
        <f t="shared" si="2"/>
        <v>2.7900053459374519E-2</v>
      </c>
    </row>
    <row r="22" spans="1:11" x14ac:dyDescent="0.25">
      <c r="A22">
        <v>20211</v>
      </c>
      <c r="B22" s="5">
        <v>1.1299999999999999E-2</v>
      </c>
      <c r="C22" s="6">
        <v>-1.6000000000000001E-3</v>
      </c>
      <c r="D22" s="7">
        <v>9.7000000000000003E-3</v>
      </c>
      <c r="I22" s="5">
        <f t="shared" si="0"/>
        <v>1.1299999999999999E-2</v>
      </c>
      <c r="J22" s="6">
        <f t="shared" si="1"/>
        <v>1.0064842462241439E-2</v>
      </c>
      <c r="K22" s="7">
        <f t="shared" si="2"/>
        <v>2.1478575182064752E-2</v>
      </c>
    </row>
    <row r="23" spans="1:11" x14ac:dyDescent="0.25">
      <c r="A23">
        <v>20204</v>
      </c>
      <c r="B23" s="5">
        <v>1.06E-2</v>
      </c>
      <c r="C23" s="6">
        <v>-5.5999999999999999E-3</v>
      </c>
      <c r="D23" s="7">
        <v>5.0000000000000001E-3</v>
      </c>
      <c r="I23" s="5">
        <f t="shared" si="0"/>
        <v>1.06E-2</v>
      </c>
      <c r="J23" s="6">
        <f t="shared" si="1"/>
        <v>1.1072844157888292E-3</v>
      </c>
      <c r="K23" s="7">
        <f t="shared" si="2"/>
        <v>1.1719021630596238E-2</v>
      </c>
    </row>
    <row r="24" spans="1:11" x14ac:dyDescent="0.25">
      <c r="A24">
        <v>20203</v>
      </c>
      <c r="B24" s="5">
        <v>1.0800000000000001E-2</v>
      </c>
      <c r="C24" s="6">
        <v>-7.9000000000000008E-3</v>
      </c>
      <c r="D24" s="7">
        <v>2.8999999999999998E-3</v>
      </c>
      <c r="I24" s="5">
        <f t="shared" si="0"/>
        <v>1.0800000000000001E-2</v>
      </c>
      <c r="J24" s="6">
        <f t="shared" si="1"/>
        <v>1.513806386292684E-2</v>
      </c>
      <c r="K24" s="7">
        <f t="shared" si="2"/>
        <v>2.6101554952646433E-2</v>
      </c>
    </row>
    <row r="25" spans="1:11" x14ac:dyDescent="0.25">
      <c r="A25">
        <v>20202</v>
      </c>
      <c r="B25" s="5">
        <v>1.0800000000000001E-2</v>
      </c>
      <c r="C25" s="6">
        <v>-1.5800000000000002E-2</v>
      </c>
      <c r="D25" s="7">
        <v>-5.0000000000000001E-3</v>
      </c>
      <c r="I25" s="5">
        <f t="shared" si="0"/>
        <v>1.0800000000000001E-2</v>
      </c>
      <c r="J25" s="6">
        <f t="shared" si="1"/>
        <v>-6.8875033203198543E-2</v>
      </c>
      <c r="K25" s="7">
        <f t="shared" si="2"/>
        <v>-5.8818883561793212E-2</v>
      </c>
    </row>
    <row r="26" spans="1:11" x14ac:dyDescent="0.25">
      <c r="A26">
        <v>20201</v>
      </c>
      <c r="B26" s="5">
        <v>1.09E-2</v>
      </c>
      <c r="C26" s="6">
        <v>2.3999999999999998E-3</v>
      </c>
      <c r="D26" s="7">
        <v>1.34E-2</v>
      </c>
      <c r="I26" s="5">
        <f t="shared" si="0"/>
        <v>1.09E-2</v>
      </c>
      <c r="J26" s="6">
        <f t="shared" si="1"/>
        <v>-9.5564635237974718E-3</v>
      </c>
      <c r="K26" s="7">
        <f t="shared" si="2"/>
        <v>1.2393710237930122E-3</v>
      </c>
    </row>
    <row r="27" spans="1:11" x14ac:dyDescent="0.25">
      <c r="A27">
        <v>20194</v>
      </c>
      <c r="B27" s="5">
        <v>1.06E-2</v>
      </c>
      <c r="C27" s="6">
        <v>6.4999999999999997E-3</v>
      </c>
      <c r="D27" s="7">
        <v>1.7100000000000001E-2</v>
      </c>
      <c r="I27" s="5">
        <f t="shared" si="0"/>
        <v>1.06E-2</v>
      </c>
      <c r="J27" s="6">
        <f t="shared" si="1"/>
        <v>1.4957010785125041E-2</v>
      </c>
      <c r="K27" s="7">
        <f t="shared" si="2"/>
        <v>2.5715555099447451E-2</v>
      </c>
    </row>
    <row r="28" spans="1:11" x14ac:dyDescent="0.25">
      <c r="A28">
        <v>20193</v>
      </c>
      <c r="B28" s="5">
        <v>1.09E-2</v>
      </c>
      <c r="C28" s="6">
        <v>3.5999999999999999E-3</v>
      </c>
      <c r="D28" s="7">
        <v>1.4500000000000001E-2</v>
      </c>
      <c r="I28" s="5">
        <f t="shared" si="0"/>
        <v>1.09E-2</v>
      </c>
      <c r="J28" s="6">
        <f t="shared" si="1"/>
        <v>-2.5240422926767554E-3</v>
      </c>
      <c r="K28" s="7">
        <f t="shared" si="2"/>
        <v>8.3484456463329693E-3</v>
      </c>
    </row>
    <row r="29" spans="1:11" x14ac:dyDescent="0.25">
      <c r="A29">
        <v>20192</v>
      </c>
      <c r="B29" s="5">
        <v>1.12E-2</v>
      </c>
      <c r="C29" s="6">
        <v>5.7000000000000002E-3</v>
      </c>
      <c r="D29" s="7">
        <v>1.6899999999999998E-2</v>
      </c>
      <c r="I29" s="5">
        <f t="shared" si="0"/>
        <v>1.12E-2</v>
      </c>
      <c r="J29" s="6">
        <f t="shared" si="1"/>
        <v>6.2832421231120749E-3</v>
      </c>
      <c r="K29" s="7">
        <f t="shared" si="2"/>
        <v>1.7553614434890896E-2</v>
      </c>
    </row>
    <row r="30" spans="1:11" x14ac:dyDescent="0.25">
      <c r="A30">
        <v>20191</v>
      </c>
      <c r="B30" s="5">
        <v>1.0999999999999999E-2</v>
      </c>
      <c r="C30" s="6">
        <v>5.4999999999999997E-3</v>
      </c>
      <c r="D30" s="7">
        <v>1.6500000000000001E-2</v>
      </c>
      <c r="I30" s="5">
        <f t="shared" si="0"/>
        <v>1.0999999999999999E-2</v>
      </c>
      <c r="J30" s="6">
        <f t="shared" si="1"/>
        <v>4.9167578768879259E-3</v>
      </c>
      <c r="K30" s="7">
        <f t="shared" si="2"/>
        <v>1.5970842213533398E-2</v>
      </c>
    </row>
    <row r="31" spans="1:11" x14ac:dyDescent="0.25">
      <c r="A31">
        <v>20184</v>
      </c>
      <c r="B31" s="5">
        <v>1.0699999999999999E-2</v>
      </c>
      <c r="C31" s="6">
        <v>5.7000000000000002E-3</v>
      </c>
      <c r="D31" s="7">
        <v>1.6400000000000001E-2</v>
      </c>
      <c r="I31" s="5">
        <f t="shared" si="0"/>
        <v>1.0699999999999999E-2</v>
      </c>
      <c r="J31" s="6">
        <f t="shared" si="1"/>
        <v>5.1167578768879307E-3</v>
      </c>
      <c r="K31" s="7">
        <f t="shared" si="2"/>
        <v>1.5871507186170586E-2</v>
      </c>
    </row>
    <row r="32" spans="1:11" x14ac:dyDescent="0.25">
      <c r="A32">
        <v>20183</v>
      </c>
      <c r="B32" s="5">
        <v>1.11E-2</v>
      </c>
      <c r="C32" s="6">
        <v>5.8999999999999999E-3</v>
      </c>
      <c r="D32" s="7">
        <v>1.7000000000000001E-2</v>
      </c>
      <c r="I32" s="5">
        <f t="shared" si="0"/>
        <v>1.11E-2</v>
      </c>
      <c r="J32" s="6">
        <f t="shared" si="1"/>
        <v>1.1732421231120718E-2</v>
      </c>
      <c r="K32" s="7">
        <f t="shared" si="2"/>
        <v>2.2962651106786192E-2</v>
      </c>
    </row>
    <row r="33" spans="1:11" x14ac:dyDescent="0.25">
      <c r="A33">
        <v>20182</v>
      </c>
      <c r="B33" s="5">
        <v>1.15E-2</v>
      </c>
      <c r="C33" s="6">
        <v>3.8999999999999998E-3</v>
      </c>
      <c r="D33" s="7">
        <v>1.54E-2</v>
      </c>
      <c r="I33" s="5">
        <f t="shared" si="0"/>
        <v>1.15E-2</v>
      </c>
      <c r="J33" s="6">
        <f t="shared" si="1"/>
        <v>-5.7234950313491849E-3</v>
      </c>
      <c r="K33" s="7">
        <f t="shared" si="2"/>
        <v>5.7106847757903978E-3</v>
      </c>
    </row>
    <row r="34" spans="1:11" x14ac:dyDescent="0.25">
      <c r="A34">
        <v>20181</v>
      </c>
      <c r="B34" s="5">
        <v>1.0999999999999999E-2</v>
      </c>
      <c r="C34" s="6">
        <v>7.1999999999999998E-3</v>
      </c>
      <c r="D34" s="7">
        <v>1.8100000000000002E-2</v>
      </c>
      <c r="I34" s="5">
        <f t="shared" si="0"/>
        <v>1.0999999999999999E-2</v>
      </c>
      <c r="J34" s="6">
        <f t="shared" si="1"/>
        <v>1.507376866201297E-2</v>
      </c>
      <c r="K34" s="7">
        <f t="shared" si="2"/>
        <v>2.6239580117294992E-2</v>
      </c>
    </row>
    <row r="35" spans="1:11" x14ac:dyDescent="0.25">
      <c r="A35">
        <v>20174</v>
      </c>
      <c r="B35" s="5">
        <v>1.12E-2</v>
      </c>
      <c r="C35" s="6">
        <v>4.4999999999999997E-3</v>
      </c>
      <c r="D35" s="7">
        <v>1.5699999999999999E-2</v>
      </c>
      <c r="I35" s="5">
        <f t="shared" si="0"/>
        <v>1.12E-2</v>
      </c>
      <c r="J35" s="6">
        <f t="shared" si="1"/>
        <v>9.4575580464526087E-3</v>
      </c>
      <c r="K35" s="7">
        <f t="shared" si="2"/>
        <v>2.0763482696573021E-2</v>
      </c>
    </row>
    <row r="36" spans="1:11" x14ac:dyDescent="0.25">
      <c r="A36">
        <v>20173</v>
      </c>
      <c r="B36" s="5">
        <v>1.12E-2</v>
      </c>
      <c r="C36" s="6">
        <v>2.8E-3</v>
      </c>
      <c r="D36" s="7">
        <v>1.4E-2</v>
      </c>
      <c r="I36" s="5">
        <f t="shared" si="0"/>
        <v>1.12E-2</v>
      </c>
      <c r="J36" s="6">
        <f t="shared" si="1"/>
        <v>-2.1575580464526091E-3</v>
      </c>
      <c r="K36" s="7">
        <f t="shared" si="2"/>
        <v>9.0182773034273023E-3</v>
      </c>
    </row>
    <row r="37" spans="1:11" x14ac:dyDescent="0.25">
      <c r="A37">
        <v>20172</v>
      </c>
      <c r="B37" s="5">
        <v>1.14E-2</v>
      </c>
      <c r="C37" s="6">
        <v>4.4999999999999997E-3</v>
      </c>
      <c r="D37" s="7">
        <v>1.5900000000000001E-2</v>
      </c>
      <c r="I37" s="5">
        <f t="shared" si="0"/>
        <v>1.14E-2</v>
      </c>
      <c r="J37" s="6">
        <f t="shared" si="1"/>
        <v>7.4162106155603582E-3</v>
      </c>
      <c r="K37" s="7">
        <f t="shared" si="2"/>
        <v>1.8900755416577875E-2</v>
      </c>
    </row>
    <row r="38" spans="1:11" x14ac:dyDescent="0.25">
      <c r="A38">
        <v>20171</v>
      </c>
      <c r="B38" s="5">
        <v>1.12E-2</v>
      </c>
      <c r="C38" s="6">
        <v>3.5000000000000001E-3</v>
      </c>
      <c r="D38" s="7">
        <v>1.46E-2</v>
      </c>
      <c r="I38" s="5">
        <f t="shared" si="0"/>
        <v>1.12E-2</v>
      </c>
      <c r="J38" s="6">
        <f t="shared" si="1"/>
        <v>5.2497263693362167E-3</v>
      </c>
      <c r="K38" s="7">
        <f t="shared" si="2"/>
        <v>1.6508523304672895E-2</v>
      </c>
    </row>
    <row r="39" spans="1:11" x14ac:dyDescent="0.25">
      <c r="A39">
        <v>20164</v>
      </c>
      <c r="B39" s="5">
        <v>1.0800000000000001E-2</v>
      </c>
      <c r="C39" s="6">
        <v>2.8999999999999998E-3</v>
      </c>
      <c r="D39" s="7">
        <v>1.37E-2</v>
      </c>
      <c r="I39" s="5">
        <f t="shared" ref="I39:I70" si="3">+B39</f>
        <v>1.0800000000000001E-2</v>
      </c>
      <c r="J39" s="6">
        <f t="shared" ref="J39:J70" si="4">(C39-($C$2*C40))/(1-$C$2)</f>
        <v>7.2743159233405377E-3</v>
      </c>
      <c r="K39" s="7">
        <f t="shared" ref="K39:K70" si="5">(1+I39)*(1+J39)-1</f>
        <v>1.8152878535312666E-2</v>
      </c>
    </row>
    <row r="40" spans="1:11" x14ac:dyDescent="0.25">
      <c r="A40">
        <v>20163</v>
      </c>
      <c r="B40" s="5">
        <v>1.11E-2</v>
      </c>
      <c r="C40" s="6">
        <v>1.4E-3</v>
      </c>
      <c r="D40" s="7">
        <v>1.2500000000000001E-2</v>
      </c>
      <c r="I40" s="5">
        <f t="shared" si="3"/>
        <v>1.11E-2</v>
      </c>
      <c r="J40" s="6">
        <f t="shared" si="4"/>
        <v>-1.1431326708465576E-2</v>
      </c>
      <c r="K40" s="7">
        <f t="shared" si="5"/>
        <v>-4.5821443492943814E-4</v>
      </c>
    </row>
    <row r="41" spans="1:11" x14ac:dyDescent="0.25">
      <c r="A41">
        <v>20162</v>
      </c>
      <c r="B41" s="5">
        <v>1.15E-2</v>
      </c>
      <c r="C41" s="6">
        <v>5.7999999999999996E-3</v>
      </c>
      <c r="D41" s="7">
        <v>1.7299999999999999E-2</v>
      </c>
      <c r="I41" s="5">
        <f t="shared" si="3"/>
        <v>1.15E-2</v>
      </c>
      <c r="J41" s="6">
        <f t="shared" si="4"/>
        <v>4.0502736306637808E-3</v>
      </c>
      <c r="K41" s="7">
        <f t="shared" si="5"/>
        <v>1.5596851777416543E-2</v>
      </c>
    </row>
    <row r="42" spans="1:11" x14ac:dyDescent="0.25">
      <c r="A42">
        <v>20161</v>
      </c>
      <c r="B42" s="5">
        <v>1.1299999999999999E-2</v>
      </c>
      <c r="C42" s="6">
        <v>6.4000000000000003E-3</v>
      </c>
      <c r="D42" s="7">
        <v>1.77E-2</v>
      </c>
      <c r="I42" s="5">
        <f t="shared" si="3"/>
        <v>1.1299999999999999E-2</v>
      </c>
      <c r="J42" s="6">
        <f t="shared" si="4"/>
        <v>-1.4888337493590621E-2</v>
      </c>
      <c r="K42" s="7">
        <f t="shared" si="5"/>
        <v>-3.7565757072681727E-3</v>
      </c>
    </row>
    <row r="43" spans="1:11" x14ac:dyDescent="0.25">
      <c r="A43">
        <v>20154</v>
      </c>
      <c r="B43" s="5">
        <v>1.12E-2</v>
      </c>
      <c r="C43" s="6">
        <v>1.37E-2</v>
      </c>
      <c r="D43" s="7">
        <v>2.4899999999999999E-2</v>
      </c>
      <c r="I43" s="5">
        <f t="shared" si="3"/>
        <v>1.12E-2</v>
      </c>
      <c r="J43" s="6">
        <f t="shared" si="4"/>
        <v>1.1602943530904632E-3</v>
      </c>
      <c r="K43" s="7">
        <f t="shared" si="5"/>
        <v>1.2373289649845187E-2</v>
      </c>
    </row>
    <row r="44" spans="1:11" x14ac:dyDescent="0.25">
      <c r="A44">
        <v>20153</v>
      </c>
      <c r="B44" s="5">
        <v>1.17E-2</v>
      </c>
      <c r="C44" s="6">
        <v>1.7999999999999999E-2</v>
      </c>
      <c r="D44" s="7">
        <v>2.9600000000000001E-2</v>
      </c>
      <c r="I44" s="5">
        <f t="shared" si="3"/>
        <v>1.17E-2</v>
      </c>
      <c r="J44" s="6">
        <f t="shared" si="4"/>
        <v>1.6541894692219818E-2</v>
      </c>
      <c r="K44" s="7">
        <f t="shared" si="5"/>
        <v>2.8435434860118791E-2</v>
      </c>
    </row>
    <row r="45" spans="1:11" x14ac:dyDescent="0.25">
      <c r="A45">
        <v>20152</v>
      </c>
      <c r="B45" s="5">
        <v>1.23E-2</v>
      </c>
      <c r="C45" s="6">
        <v>1.8499999999999999E-2</v>
      </c>
      <c r="D45" s="7">
        <v>3.0800000000000001E-2</v>
      </c>
      <c r="I45" s="5">
        <f t="shared" si="3"/>
        <v>1.23E-2</v>
      </c>
      <c r="J45" s="6">
        <f t="shared" si="4"/>
        <v>-2.496716432034586E-3</v>
      </c>
      <c r="K45" s="7">
        <f t="shared" si="5"/>
        <v>9.7725739558514046E-3</v>
      </c>
    </row>
    <row r="46" spans="1:11" x14ac:dyDescent="0.25">
      <c r="A46">
        <v>20151</v>
      </c>
      <c r="B46" s="5">
        <v>1.18E-2</v>
      </c>
      <c r="C46" s="6">
        <v>2.5700000000000001E-2</v>
      </c>
      <c r="D46" s="7">
        <v>3.7499999999999999E-2</v>
      </c>
      <c r="I46" s="5">
        <f t="shared" si="3"/>
        <v>1.18E-2</v>
      </c>
      <c r="J46" s="6">
        <f t="shared" si="4"/>
        <v>4.6696716432034588E-2</v>
      </c>
      <c r="K46" s="7">
        <f t="shared" si="5"/>
        <v>5.9047737685932633E-2</v>
      </c>
    </row>
    <row r="47" spans="1:11" x14ac:dyDescent="0.25">
      <c r="A47">
        <v>20144</v>
      </c>
      <c r="B47" s="5">
        <v>1.2500000000000001E-2</v>
      </c>
      <c r="C47" s="6">
        <v>1.8499999999999999E-2</v>
      </c>
      <c r="D47" s="7">
        <v>3.1E-2</v>
      </c>
      <c r="I47" s="5">
        <f t="shared" si="3"/>
        <v>1.2500000000000001E-2</v>
      </c>
      <c r="J47" s="6">
        <f t="shared" si="4"/>
        <v>2.8998358216017286E-2</v>
      </c>
      <c r="K47" s="7">
        <f t="shared" si="5"/>
        <v>4.1860837693717512E-2</v>
      </c>
    </row>
    <row r="48" spans="1:11" x14ac:dyDescent="0.25">
      <c r="A48">
        <v>20143</v>
      </c>
      <c r="B48" s="5">
        <v>1.2800000000000001E-2</v>
      </c>
      <c r="C48" s="6">
        <v>1.49E-2</v>
      </c>
      <c r="D48" s="7">
        <v>2.7699999999999999E-2</v>
      </c>
      <c r="I48" s="5">
        <f t="shared" si="3"/>
        <v>1.2800000000000001E-2</v>
      </c>
      <c r="J48" s="6">
        <f t="shared" si="4"/>
        <v>1.0525684076659455E-2</v>
      </c>
      <c r="K48" s="7">
        <f t="shared" si="5"/>
        <v>2.3460412832840616E-2</v>
      </c>
    </row>
    <row r="49" spans="1:11" x14ac:dyDescent="0.25">
      <c r="A49">
        <v>20142</v>
      </c>
      <c r="B49" s="5">
        <v>1.3299999999999999E-2</v>
      </c>
      <c r="C49" s="6">
        <v>1.6400000000000001E-2</v>
      </c>
      <c r="D49" s="7">
        <v>2.9700000000000001E-2</v>
      </c>
      <c r="I49" s="5">
        <f t="shared" si="3"/>
        <v>1.3299999999999999E-2</v>
      </c>
      <c r="J49" s="6">
        <f t="shared" si="4"/>
        <v>2.6023495031349191E-2</v>
      </c>
      <c r="K49" s="7">
        <f t="shared" si="5"/>
        <v>3.966960751526627E-2</v>
      </c>
    </row>
    <row r="50" spans="1:11" x14ac:dyDescent="0.25">
      <c r="A50">
        <v>20141</v>
      </c>
      <c r="B50" s="5">
        <v>1.26E-2</v>
      </c>
      <c r="C50" s="6">
        <v>1.3100000000000001E-2</v>
      </c>
      <c r="D50" s="7">
        <v>2.58E-2</v>
      </c>
      <c r="I50" s="5">
        <f t="shared" si="3"/>
        <v>1.26E-2</v>
      </c>
      <c r="J50" s="6">
        <f t="shared" si="4"/>
        <v>2.0098905477344865E-2</v>
      </c>
      <c r="K50" s="7">
        <f t="shared" si="5"/>
        <v>3.2952151686359343E-2</v>
      </c>
    </row>
    <row r="51" spans="1:11" x14ac:dyDescent="0.25">
      <c r="A51">
        <v>20134</v>
      </c>
      <c r="B51" s="5">
        <v>1.2699999999999999E-2</v>
      </c>
      <c r="C51" s="6">
        <v>1.0699999999999999E-2</v>
      </c>
      <c r="D51" s="7">
        <v>2.3400000000000001E-2</v>
      </c>
      <c r="I51" s="5">
        <f t="shared" si="3"/>
        <v>1.2699999999999999E-2</v>
      </c>
      <c r="J51" s="6">
        <f t="shared" si="4"/>
        <v>9.5335157537758553E-3</v>
      </c>
      <c r="K51" s="7">
        <f t="shared" si="5"/>
        <v>2.2354591403848767E-2</v>
      </c>
    </row>
    <row r="52" spans="1:11" x14ac:dyDescent="0.25">
      <c r="A52">
        <v>20133</v>
      </c>
      <c r="B52" s="5">
        <v>1.32E-2</v>
      </c>
      <c r="C52" s="6">
        <v>1.11E-2</v>
      </c>
      <c r="D52" s="7">
        <v>2.4299999999999999E-2</v>
      </c>
      <c r="I52" s="5">
        <f t="shared" si="3"/>
        <v>1.32E-2</v>
      </c>
      <c r="J52" s="6">
        <f t="shared" si="4"/>
        <v>7.8921683228836033E-3</v>
      </c>
      <c r="K52" s="7">
        <f t="shared" si="5"/>
        <v>2.1196344944745871E-2</v>
      </c>
    </row>
    <row r="53" spans="1:11" x14ac:dyDescent="0.25">
      <c r="A53">
        <v>20132</v>
      </c>
      <c r="B53" s="5">
        <v>1.3599999999999999E-2</v>
      </c>
      <c r="C53" s="6">
        <v>1.2200000000000001E-2</v>
      </c>
      <c r="D53" s="7">
        <v>2.58E-2</v>
      </c>
      <c r="I53" s="5">
        <f t="shared" si="3"/>
        <v>1.3599999999999999E-2</v>
      </c>
      <c r="J53" s="6">
        <f t="shared" si="4"/>
        <v>2.1823495031349189E-2</v>
      </c>
      <c r="K53" s="7">
        <f t="shared" si="5"/>
        <v>3.5720294563775568E-2</v>
      </c>
    </row>
    <row r="54" spans="1:11" x14ac:dyDescent="0.25">
      <c r="A54">
        <v>20131</v>
      </c>
      <c r="B54" s="5">
        <v>1.3299999999999999E-2</v>
      </c>
      <c r="C54" s="6">
        <v>8.8999999999999999E-3</v>
      </c>
      <c r="D54" s="7">
        <v>2.2200000000000001E-2</v>
      </c>
      <c r="I54" s="5">
        <f t="shared" si="3"/>
        <v>1.3299999999999999E-2</v>
      </c>
      <c r="J54" s="6">
        <f t="shared" si="4"/>
        <v>1.0941347430892248E-2</v>
      </c>
      <c r="K54" s="7">
        <f t="shared" si="5"/>
        <v>2.4386867351723129E-2</v>
      </c>
    </row>
    <row r="55" spans="1:11" x14ac:dyDescent="0.25">
      <c r="A55">
        <v>20124</v>
      </c>
      <c r="B55" s="5">
        <v>1.35E-2</v>
      </c>
      <c r="C55" s="6">
        <v>8.2000000000000007E-3</v>
      </c>
      <c r="D55" s="7">
        <v>2.1700000000000001E-2</v>
      </c>
      <c r="I55" s="5">
        <f t="shared" si="3"/>
        <v>1.35E-2</v>
      </c>
      <c r="J55" s="6">
        <f t="shared" si="4"/>
        <v>3.8256840766594628E-3</v>
      </c>
      <c r="K55" s="7">
        <f t="shared" si="5"/>
        <v>1.7377330811694458E-2</v>
      </c>
    </row>
    <row r="56" spans="1:11" x14ac:dyDescent="0.25">
      <c r="A56">
        <v>20123</v>
      </c>
      <c r="B56" s="5">
        <v>1.38E-2</v>
      </c>
      <c r="C56" s="6">
        <v>9.7000000000000003E-3</v>
      </c>
      <c r="D56" s="7">
        <v>2.35E-2</v>
      </c>
      <c r="I56" s="5">
        <f t="shared" si="3"/>
        <v>1.38E-2</v>
      </c>
      <c r="J56" s="6">
        <f t="shared" si="4"/>
        <v>9.4083789384439669E-3</v>
      </c>
      <c r="K56" s="7">
        <f t="shared" si="5"/>
        <v>2.3338214567794502E-2</v>
      </c>
    </row>
    <row r="57" spans="1:11" x14ac:dyDescent="0.25">
      <c r="A57">
        <v>20122</v>
      </c>
      <c r="B57" s="5">
        <v>1.4200000000000001E-2</v>
      </c>
      <c r="C57" s="6">
        <v>9.7999999999999997E-3</v>
      </c>
      <c r="D57" s="7">
        <v>2.4E-2</v>
      </c>
      <c r="I57" s="5">
        <f t="shared" si="3"/>
        <v>1.4200000000000001E-2</v>
      </c>
      <c r="J57" s="6">
        <f t="shared" si="4"/>
        <v>6.8837893844396376E-3</v>
      </c>
      <c r="K57" s="7">
        <f t="shared" si="5"/>
        <v>2.1181539193698695E-2</v>
      </c>
    </row>
    <row r="58" spans="1:11" x14ac:dyDescent="0.25">
      <c r="A58">
        <v>20121</v>
      </c>
      <c r="B58" s="5">
        <v>1.41E-2</v>
      </c>
      <c r="C58" s="6">
        <v>1.0800000000000001E-2</v>
      </c>
      <c r="D58" s="7">
        <v>2.5000000000000001E-2</v>
      </c>
      <c r="I58" s="5">
        <f t="shared" si="3"/>
        <v>1.41E-2</v>
      </c>
      <c r="J58" s="6">
        <f t="shared" si="4"/>
        <v>1.0508378938443967E-2</v>
      </c>
      <c r="K58" s="7">
        <f t="shared" si="5"/>
        <v>2.4756547081475899E-2</v>
      </c>
    </row>
    <row r="59" spans="1:11" x14ac:dyDescent="0.25">
      <c r="A59">
        <v>20114</v>
      </c>
      <c r="B59" s="5">
        <v>1.4E-2</v>
      </c>
      <c r="C59" s="6">
        <v>1.09E-2</v>
      </c>
      <c r="D59" s="7">
        <v>2.4899999999999999E-2</v>
      </c>
      <c r="I59" s="5">
        <f t="shared" si="3"/>
        <v>1.4E-2</v>
      </c>
      <c r="J59" s="6">
        <f t="shared" si="4"/>
        <v>-2.2229477700216149E-3</v>
      </c>
      <c r="K59" s="7">
        <f t="shared" si="5"/>
        <v>1.1745930961198026E-2</v>
      </c>
    </row>
    <row r="60" spans="1:11" x14ac:dyDescent="0.25">
      <c r="A60">
        <v>20113</v>
      </c>
      <c r="B60" s="5">
        <v>1.43E-2</v>
      </c>
      <c r="C60" s="6">
        <v>1.54E-2</v>
      </c>
      <c r="D60" s="7">
        <v>2.9700000000000001E-2</v>
      </c>
      <c r="I60" s="5">
        <f t="shared" si="3"/>
        <v>1.43E-2</v>
      </c>
      <c r="J60" s="6">
        <f t="shared" si="4"/>
        <v>-2.105263269450449E-2</v>
      </c>
      <c r="K60" s="7">
        <f t="shared" si="5"/>
        <v>-7.0536853420359868E-3</v>
      </c>
    </row>
    <row r="61" spans="1:11" x14ac:dyDescent="0.25">
      <c r="A61">
        <v>20112</v>
      </c>
      <c r="B61" s="5">
        <v>1.55E-2</v>
      </c>
      <c r="C61" s="6">
        <v>2.7900000000000001E-2</v>
      </c>
      <c r="D61" s="7">
        <v>4.3499999999999997E-2</v>
      </c>
      <c r="I61" s="5">
        <f t="shared" si="3"/>
        <v>1.55E-2</v>
      </c>
      <c r="J61" s="6">
        <f t="shared" si="4"/>
        <v>5.8228590401827734E-2</v>
      </c>
      <c r="K61" s="7">
        <f t="shared" si="5"/>
        <v>7.4631133553056284E-2</v>
      </c>
    </row>
    <row r="62" spans="1:11" x14ac:dyDescent="0.25">
      <c r="A62">
        <v>20111</v>
      </c>
      <c r="B62" s="5">
        <v>1.54E-2</v>
      </c>
      <c r="C62" s="6">
        <v>1.7500000000000002E-2</v>
      </c>
      <c r="D62" s="7">
        <v>3.2899999999999999E-2</v>
      </c>
      <c r="I62" s="5">
        <f t="shared" si="3"/>
        <v>1.54E-2</v>
      </c>
      <c r="J62" s="6">
        <f t="shared" si="4"/>
        <v>4.6686732915344259E-3</v>
      </c>
      <c r="K62" s="7">
        <f t="shared" si="5"/>
        <v>2.0140570860224027E-2</v>
      </c>
    </row>
    <row r="63" spans="1:11" x14ac:dyDescent="0.25">
      <c r="A63">
        <v>20104</v>
      </c>
      <c r="B63" s="5">
        <v>1.5800000000000002E-2</v>
      </c>
      <c r="C63" s="6">
        <v>2.1899999999999999E-2</v>
      </c>
      <c r="D63" s="7">
        <v>3.7699999999999997E-2</v>
      </c>
      <c r="I63" s="5">
        <f t="shared" si="3"/>
        <v>1.5800000000000002E-2</v>
      </c>
      <c r="J63" s="6">
        <f t="shared" si="4"/>
        <v>3.6772674139357829E-2</v>
      </c>
      <c r="K63" s="7">
        <f t="shared" si="5"/>
        <v>5.3153682390759904E-2</v>
      </c>
    </row>
    <row r="64" spans="1:11" x14ac:dyDescent="0.25">
      <c r="A64">
        <v>20103</v>
      </c>
      <c r="B64" s="5">
        <v>1.66E-2</v>
      </c>
      <c r="C64" s="6">
        <v>1.6799999999999999E-2</v>
      </c>
      <c r="D64" s="7">
        <v>3.3399999999999999E-2</v>
      </c>
      <c r="I64" s="5">
        <f t="shared" si="3"/>
        <v>1.66E-2</v>
      </c>
      <c r="J64" s="6">
        <f t="shared" si="4"/>
        <v>1.825810530778018E-2</v>
      </c>
      <c r="K64" s="7">
        <f t="shared" si="5"/>
        <v>3.516118985588923E-2</v>
      </c>
    </row>
    <row r="65" spans="1:11" x14ac:dyDescent="0.25">
      <c r="A65">
        <v>20102</v>
      </c>
      <c r="B65" s="5">
        <v>1.7899999999999999E-2</v>
      </c>
      <c r="C65" s="6">
        <v>1.6299999999999999E-2</v>
      </c>
      <c r="D65" s="7">
        <v>3.4200000000000001E-2</v>
      </c>
      <c r="I65" s="5">
        <f t="shared" si="3"/>
        <v>1.7899999999999999E-2</v>
      </c>
      <c r="J65" s="6">
        <f t="shared" si="4"/>
        <v>8.8330402204340866E-2</v>
      </c>
      <c r="K65" s="7">
        <f t="shared" si="5"/>
        <v>0.10781151640379871</v>
      </c>
    </row>
    <row r="66" spans="1:11" x14ac:dyDescent="0.25">
      <c r="A66">
        <v>20101</v>
      </c>
      <c r="B66" s="5">
        <v>1.7500000000000002E-2</v>
      </c>
      <c r="C66" s="6">
        <v>-8.3999999999999995E-3</v>
      </c>
      <c r="D66" s="7">
        <v>9.1999999999999998E-3</v>
      </c>
      <c r="I66" s="5">
        <f t="shared" si="3"/>
        <v>1.7500000000000002E-2</v>
      </c>
      <c r="J66" s="6">
        <f t="shared" si="4"/>
        <v>9.5708718975504842E-2</v>
      </c>
      <c r="K66" s="7">
        <f t="shared" si="5"/>
        <v>0.11488362155757614</v>
      </c>
    </row>
    <row r="67" spans="1:11" x14ac:dyDescent="0.25">
      <c r="A67">
        <v>20094</v>
      </c>
      <c r="B67" s="5">
        <v>1.6400000000000001E-2</v>
      </c>
      <c r="C67" s="6">
        <v>-4.41E-2</v>
      </c>
      <c r="D67" s="7">
        <v>-2.76E-2</v>
      </c>
      <c r="I67" s="5">
        <f t="shared" si="3"/>
        <v>1.6400000000000001E-2</v>
      </c>
      <c r="J67" s="6">
        <f t="shared" si="4"/>
        <v>-2.8644083737530093E-2</v>
      </c>
      <c r="K67" s="7">
        <f t="shared" si="5"/>
        <v>-1.2713846710825649E-2</v>
      </c>
    </row>
    <row r="68" spans="1:11" x14ac:dyDescent="0.25">
      <c r="A68">
        <v>20093</v>
      </c>
      <c r="B68" s="5">
        <v>1.6299999999999999E-2</v>
      </c>
      <c r="C68" s="6">
        <v>-4.9399999999999999E-2</v>
      </c>
      <c r="D68" s="7">
        <v>-3.3099999999999997E-2</v>
      </c>
      <c r="I68" s="5">
        <f t="shared" si="3"/>
        <v>1.6299999999999999E-2</v>
      </c>
      <c r="J68" s="6">
        <f t="shared" si="4"/>
        <v>6.1707624452849656E-2</v>
      </c>
      <c r="K68" s="7">
        <f t="shared" si="5"/>
        <v>7.9013458731431063E-2</v>
      </c>
    </row>
    <row r="69" spans="1:11" x14ac:dyDescent="0.25">
      <c r="A69">
        <v>20092</v>
      </c>
      <c r="B69" s="5">
        <v>1.5599999999999999E-2</v>
      </c>
      <c r="C69" s="6">
        <v>-8.7499999999999994E-2</v>
      </c>
      <c r="D69" s="7">
        <v>-7.1900000000000006E-2</v>
      </c>
      <c r="I69" s="5">
        <f t="shared" si="3"/>
        <v>1.5599999999999999E-2</v>
      </c>
      <c r="J69" s="6">
        <f t="shared" si="4"/>
        <v>-7.116922055286197E-2</v>
      </c>
      <c r="K69" s="7">
        <f t="shared" si="5"/>
        <v>-5.6679460393486591E-2</v>
      </c>
    </row>
    <row r="70" spans="1:11" x14ac:dyDescent="0.25">
      <c r="A70">
        <v>20091</v>
      </c>
      <c r="B70" s="5">
        <v>1.38E-2</v>
      </c>
      <c r="C70" s="6">
        <v>-9.3100000000000002E-2</v>
      </c>
      <c r="D70" s="7">
        <v>-7.9299999999999995E-2</v>
      </c>
      <c r="I70" s="5">
        <f t="shared" si="3"/>
        <v>1.38E-2</v>
      </c>
      <c r="J70" s="6">
        <f t="shared" si="4"/>
        <v>-5.9271956859499819E-2</v>
      </c>
      <c r="K70" s="7">
        <f t="shared" si="5"/>
        <v>-4.6289909864160927E-2</v>
      </c>
    </row>
    <row r="71" spans="1:11" x14ac:dyDescent="0.25">
      <c r="A71">
        <v>20084</v>
      </c>
      <c r="B71" s="5">
        <v>1.1900000000000001E-2</v>
      </c>
      <c r="C71" s="6">
        <v>-0.1047</v>
      </c>
      <c r="D71" s="7">
        <v>-9.2799999999999994E-2</v>
      </c>
      <c r="I71" s="5">
        <f t="shared" ref="I71:I102" si="6">+B71</f>
        <v>1.1900000000000001E-2</v>
      </c>
      <c r="J71" s="6">
        <f t="shared" ref="J71:J102" si="7">(C71-($C$2*C72))/(1-$C$2)</f>
        <v>-0.36686733433887625</v>
      </c>
      <c r="K71" s="7">
        <f t="shared" ref="K71:K102" si="8">(1+I71)*(1+J71)-1</f>
        <v>-0.35933305561750883</v>
      </c>
    </row>
    <row r="72" spans="1:11" x14ac:dyDescent="0.25">
      <c r="A72">
        <v>20083</v>
      </c>
      <c r="B72" s="5">
        <v>1.17E-2</v>
      </c>
      <c r="C72" s="6">
        <v>-1.4800000000000001E-2</v>
      </c>
      <c r="D72" s="7">
        <v>-3.0999999999999999E-3</v>
      </c>
      <c r="I72" s="5">
        <f t="shared" si="6"/>
        <v>1.17E-2</v>
      </c>
      <c r="J72" s="6">
        <f t="shared" si="7"/>
        <v>-3.8129684924482876E-2</v>
      </c>
      <c r="K72" s="7">
        <f t="shared" si="8"/>
        <v>-2.6875802238099267E-2</v>
      </c>
    </row>
    <row r="73" spans="1:11" x14ac:dyDescent="0.25">
      <c r="A73">
        <v>20082</v>
      </c>
      <c r="B73" s="5">
        <v>1.2200000000000001E-2</v>
      </c>
      <c r="C73" s="6">
        <v>-6.7999999999999996E-3</v>
      </c>
      <c r="D73" s="7">
        <v>5.4000000000000003E-3</v>
      </c>
      <c r="I73" s="5">
        <f t="shared" si="6"/>
        <v>1.2200000000000001E-2</v>
      </c>
      <c r="J73" s="6">
        <f t="shared" si="7"/>
        <v>-5.0834780294961419E-2</v>
      </c>
      <c r="K73" s="7">
        <f t="shared" si="8"/>
        <v>-3.9254964614560017E-2</v>
      </c>
    </row>
    <row r="74" spans="1:11" x14ac:dyDescent="0.25">
      <c r="A74">
        <v>20081</v>
      </c>
      <c r="B74" s="5">
        <v>1.23E-2</v>
      </c>
      <c r="C74" s="6">
        <v>8.3000000000000001E-3</v>
      </c>
      <c r="D74" s="7">
        <v>2.06E-2</v>
      </c>
      <c r="I74" s="5">
        <f t="shared" si="6"/>
        <v>1.23E-2</v>
      </c>
      <c r="J74" s="6">
        <f t="shared" si="7"/>
        <v>-4.5358275326310614E-2</v>
      </c>
      <c r="K74" s="7">
        <f t="shared" si="8"/>
        <v>-3.3616182112824244E-2</v>
      </c>
    </row>
    <row r="75" spans="1:11" x14ac:dyDescent="0.25">
      <c r="A75">
        <v>20074</v>
      </c>
      <c r="B75" s="5">
        <v>1.2699999999999999E-2</v>
      </c>
      <c r="C75" s="6">
        <v>2.6700000000000002E-2</v>
      </c>
      <c r="D75" s="7">
        <v>3.9399999999999998E-2</v>
      </c>
      <c r="I75" s="5">
        <f t="shared" si="6"/>
        <v>1.2699999999999999E-2</v>
      </c>
      <c r="J75" s="6">
        <f t="shared" si="7"/>
        <v>2.787072952405057E-3</v>
      </c>
      <c r="K75" s="7">
        <f t="shared" si="8"/>
        <v>1.5522468778900622E-2</v>
      </c>
    </row>
    <row r="76" spans="1:11" x14ac:dyDescent="0.25">
      <c r="A76">
        <v>20073</v>
      </c>
      <c r="B76" s="5">
        <v>1.2699999999999999E-2</v>
      </c>
      <c r="C76" s="6">
        <v>3.49E-2</v>
      </c>
      <c r="D76" s="7">
        <v>4.7600000000000003E-2</v>
      </c>
      <c r="I76" s="5">
        <f t="shared" si="6"/>
        <v>1.2699999999999999E-2</v>
      </c>
      <c r="J76" s="6">
        <f t="shared" si="7"/>
        <v>9.528967644624884E-3</v>
      </c>
      <c r="K76" s="7">
        <f t="shared" si="8"/>
        <v>2.2349985533711481E-2</v>
      </c>
    </row>
    <row r="77" spans="1:11" x14ac:dyDescent="0.25">
      <c r="A77">
        <v>20072</v>
      </c>
      <c r="B77" s="5">
        <v>1.3899999999999999E-2</v>
      </c>
      <c r="C77" s="6">
        <v>4.36E-2</v>
      </c>
      <c r="D77" s="7">
        <v>5.7500000000000002E-2</v>
      </c>
      <c r="I77" s="5">
        <f t="shared" si="6"/>
        <v>1.3899999999999999E-2</v>
      </c>
      <c r="J77" s="6">
        <f t="shared" si="7"/>
        <v>7.917776950983639E-2</v>
      </c>
      <c r="K77" s="7">
        <f t="shared" si="8"/>
        <v>9.4178340506023028E-2</v>
      </c>
    </row>
    <row r="78" spans="1:11" x14ac:dyDescent="0.25">
      <c r="A78">
        <v>20071</v>
      </c>
      <c r="B78" s="5">
        <v>1.4200000000000001E-2</v>
      </c>
      <c r="C78" s="6">
        <v>3.1399999999999997E-2</v>
      </c>
      <c r="D78" s="7">
        <v>4.5600000000000002E-2</v>
      </c>
      <c r="I78" s="5">
        <f t="shared" si="6"/>
        <v>1.4200000000000001E-2</v>
      </c>
      <c r="J78" s="6">
        <f t="shared" si="7"/>
        <v>-1.5550990910521785E-2</v>
      </c>
      <c r="K78" s="7">
        <f t="shared" si="8"/>
        <v>-1.5718149814512028E-3</v>
      </c>
    </row>
    <row r="79" spans="1:11" x14ac:dyDescent="0.25">
      <c r="A79">
        <v>20064</v>
      </c>
      <c r="B79" s="5">
        <v>1.46E-2</v>
      </c>
      <c r="C79" s="6">
        <v>4.7500000000000001E-2</v>
      </c>
      <c r="D79" s="7">
        <v>6.2100000000000002E-2</v>
      </c>
      <c r="I79" s="5">
        <f t="shared" si="6"/>
        <v>1.46E-2</v>
      </c>
      <c r="J79" s="6">
        <f t="shared" si="7"/>
        <v>0.10874042292676754</v>
      </c>
      <c r="K79" s="7">
        <f t="shared" si="8"/>
        <v>0.12492803310149814</v>
      </c>
    </row>
    <row r="80" spans="1:11" x14ac:dyDescent="0.25">
      <c r="A80">
        <v>20063</v>
      </c>
      <c r="B80" s="5">
        <v>1.61E-2</v>
      </c>
      <c r="C80" s="6">
        <v>2.6499999999999999E-2</v>
      </c>
      <c r="D80" s="7">
        <v>4.2599999999999999E-2</v>
      </c>
      <c r="I80" s="5">
        <f t="shared" si="6"/>
        <v>1.61E-2</v>
      </c>
      <c r="J80" s="6">
        <f t="shared" si="7"/>
        <v>2.9707831677116391E-2</v>
      </c>
      <c r="K80" s="7">
        <f t="shared" si="8"/>
        <v>4.6286127767118046E-2</v>
      </c>
    </row>
    <row r="81" spans="1:11" x14ac:dyDescent="0.25">
      <c r="A81">
        <v>20062</v>
      </c>
      <c r="B81" s="5">
        <v>1.54E-2</v>
      </c>
      <c r="C81" s="6">
        <v>2.5399999999999999E-2</v>
      </c>
      <c r="D81" s="7">
        <v>4.0800000000000003E-2</v>
      </c>
      <c r="I81" s="5">
        <f t="shared" si="6"/>
        <v>1.54E-2</v>
      </c>
      <c r="J81" s="6">
        <f t="shared" si="7"/>
        <v>3.2982147600456924E-2</v>
      </c>
      <c r="K81" s="7">
        <f t="shared" si="8"/>
        <v>4.8890072673503981E-2</v>
      </c>
    </row>
    <row r="82" spans="1:11" x14ac:dyDescent="0.25">
      <c r="A82">
        <v>20061</v>
      </c>
      <c r="B82" s="5">
        <v>1.54E-2</v>
      </c>
      <c r="C82" s="6">
        <v>2.2800000000000001E-2</v>
      </c>
      <c r="D82" s="7">
        <v>3.8300000000000001E-2</v>
      </c>
      <c r="I82" s="5">
        <f t="shared" si="6"/>
        <v>1.54E-2</v>
      </c>
      <c r="J82" s="6">
        <f t="shared" si="7"/>
        <v>-1.8026948617845026E-2</v>
      </c>
      <c r="K82" s="7">
        <f t="shared" si="8"/>
        <v>-2.9045636265597752E-3</v>
      </c>
    </row>
    <row r="83" spans="1:11" x14ac:dyDescent="0.25">
      <c r="A83">
        <v>20054</v>
      </c>
      <c r="B83" s="5">
        <v>1.6E-2</v>
      </c>
      <c r="C83" s="6">
        <v>3.6799999999999999E-2</v>
      </c>
      <c r="D83" s="7">
        <v>5.2699999999999997E-2</v>
      </c>
      <c r="I83" s="5">
        <f t="shared" si="6"/>
        <v>1.6E-2</v>
      </c>
      <c r="J83" s="6">
        <f t="shared" si="7"/>
        <v>4.4965389723569005E-2</v>
      </c>
      <c r="K83" s="7">
        <f t="shared" si="8"/>
        <v>6.1684835959145978E-2</v>
      </c>
    </row>
    <row r="84" spans="1:11" x14ac:dyDescent="0.25">
      <c r="A84">
        <v>20053</v>
      </c>
      <c r="B84" s="5">
        <v>1.6400000000000001E-2</v>
      </c>
      <c r="C84" s="6">
        <v>3.4000000000000002E-2</v>
      </c>
      <c r="D84" s="7">
        <v>5.04E-2</v>
      </c>
      <c r="I84" s="5">
        <f t="shared" si="6"/>
        <v>1.6400000000000001E-2</v>
      </c>
      <c r="J84" s="6">
        <f t="shared" si="7"/>
        <v>4.4206737154461266E-2</v>
      </c>
      <c r="K84" s="7">
        <f t="shared" si="8"/>
        <v>6.1331727643794354E-2</v>
      </c>
    </row>
    <row r="85" spans="1:11" x14ac:dyDescent="0.25">
      <c r="A85">
        <v>20052</v>
      </c>
      <c r="B85" s="5">
        <v>1.72E-2</v>
      </c>
      <c r="C85" s="6">
        <v>3.0499999999999999E-2</v>
      </c>
      <c r="D85" s="7">
        <v>4.7699999999999999E-2</v>
      </c>
      <c r="I85" s="5">
        <f t="shared" si="6"/>
        <v>1.72E-2</v>
      </c>
      <c r="J85" s="6">
        <f t="shared" si="7"/>
        <v>7.6576127725853677E-2</v>
      </c>
      <c r="K85" s="7">
        <f t="shared" si="8"/>
        <v>9.5093237122738428E-2</v>
      </c>
    </row>
    <row r="86" spans="1:11" x14ac:dyDescent="0.25">
      <c r="A86">
        <v>20051</v>
      </c>
      <c r="B86" s="5">
        <v>1.7899999999999999E-2</v>
      </c>
      <c r="C86" s="6">
        <v>1.47E-2</v>
      </c>
      <c r="D86" s="7">
        <v>3.2599999999999997E-2</v>
      </c>
      <c r="I86" s="5">
        <f t="shared" si="6"/>
        <v>1.7899999999999999E-2</v>
      </c>
      <c r="J86" s="6">
        <f t="shared" si="7"/>
        <v>-4.838611124254405E-3</v>
      </c>
      <c r="K86" s="7">
        <f t="shared" si="8"/>
        <v>1.2974777736621368E-2</v>
      </c>
    </row>
    <row r="87" spans="1:11" x14ac:dyDescent="0.25">
      <c r="A87">
        <v>20044</v>
      </c>
      <c r="B87" s="5">
        <v>1.7999999999999999E-2</v>
      </c>
      <c r="C87" s="6">
        <v>2.1399999999999999E-2</v>
      </c>
      <c r="D87" s="7">
        <v>3.95E-2</v>
      </c>
      <c r="I87" s="5">
        <f t="shared" si="6"/>
        <v>1.7999999999999999E-2</v>
      </c>
      <c r="J87" s="6">
        <f t="shared" si="7"/>
        <v>4.5021305986038901E-2</v>
      </c>
      <c r="K87" s="7">
        <f t="shared" si="8"/>
        <v>6.3831689493787591E-2</v>
      </c>
    </row>
    <row r="88" spans="1:11" x14ac:dyDescent="0.25">
      <c r="A88">
        <v>20043</v>
      </c>
      <c r="B88" s="5">
        <v>1.8700000000000001E-2</v>
      </c>
      <c r="C88" s="6">
        <v>1.3299999999999999E-2</v>
      </c>
      <c r="D88" s="7">
        <v>3.1899999999999998E-2</v>
      </c>
      <c r="I88" s="5">
        <f t="shared" si="6"/>
        <v>1.8700000000000001E-2</v>
      </c>
      <c r="J88" s="6">
        <f t="shared" si="7"/>
        <v>3.954589554004323E-2</v>
      </c>
      <c r="K88" s="7">
        <f t="shared" si="8"/>
        <v>5.8985403786641966E-2</v>
      </c>
    </row>
    <row r="89" spans="1:11" x14ac:dyDescent="0.25">
      <c r="A89">
        <v>20042</v>
      </c>
      <c r="B89" s="5">
        <v>1.9400000000000001E-2</v>
      </c>
      <c r="C89" s="6">
        <v>4.3E-3</v>
      </c>
      <c r="D89" s="7">
        <v>2.3699999999999999E-2</v>
      </c>
      <c r="I89" s="5">
        <f t="shared" si="6"/>
        <v>1.9400000000000001E-2</v>
      </c>
      <c r="J89" s="6">
        <f t="shared" si="7"/>
        <v>1.8297810954689724E-2</v>
      </c>
      <c r="K89" s="7">
        <f t="shared" si="8"/>
        <v>3.8052788487210609E-2</v>
      </c>
    </row>
    <row r="90" spans="1:11" x14ac:dyDescent="0.25">
      <c r="A90">
        <v>20041</v>
      </c>
      <c r="B90" s="5">
        <v>1.9199999999999998E-2</v>
      </c>
      <c r="C90" s="6">
        <v>-5.0000000000000001E-4</v>
      </c>
      <c r="D90" s="7">
        <v>1.8700000000000001E-2</v>
      </c>
      <c r="I90" s="5">
        <f t="shared" si="6"/>
        <v>1.9199999999999998E-2</v>
      </c>
      <c r="J90" s="6">
        <f t="shared" si="7"/>
        <v>5.6240422926767536E-3</v>
      </c>
      <c r="K90" s="7">
        <f t="shared" si="8"/>
        <v>2.4932023904696177E-2</v>
      </c>
    </row>
    <row r="91" spans="1:11" x14ac:dyDescent="0.25">
      <c r="A91">
        <v>20034</v>
      </c>
      <c r="B91" s="5">
        <v>1.95E-2</v>
      </c>
      <c r="C91" s="6">
        <v>-2.5999999999999999E-3</v>
      </c>
      <c r="D91" s="7">
        <v>1.6899999999999998E-2</v>
      </c>
      <c r="I91" s="5">
        <f t="shared" si="6"/>
        <v>1.95E-2</v>
      </c>
      <c r="J91" s="6">
        <f t="shared" si="7"/>
        <v>1.0231326708465579E-2</v>
      </c>
      <c r="K91" s="7">
        <f t="shared" si="8"/>
        <v>2.9930837579280611E-2</v>
      </c>
    </row>
    <row r="92" spans="1:11" x14ac:dyDescent="0.25">
      <c r="A92">
        <v>20033</v>
      </c>
      <c r="B92" s="5">
        <v>1.95E-2</v>
      </c>
      <c r="C92" s="6">
        <v>-7.0000000000000001E-3</v>
      </c>
      <c r="D92" s="7">
        <v>1.26E-2</v>
      </c>
      <c r="I92" s="5">
        <f t="shared" si="6"/>
        <v>1.95E-2</v>
      </c>
      <c r="J92" s="6">
        <f t="shared" si="7"/>
        <v>-9.6245895540043227E-3</v>
      </c>
      <c r="K92" s="7">
        <f t="shared" si="8"/>
        <v>9.6877309496925523E-3</v>
      </c>
    </row>
    <row r="93" spans="1:11" x14ac:dyDescent="0.25">
      <c r="A93">
        <v>20032</v>
      </c>
      <c r="B93" s="5">
        <v>2.0899999999999998E-2</v>
      </c>
      <c r="C93" s="6">
        <v>-6.1000000000000004E-3</v>
      </c>
      <c r="D93" s="7">
        <v>1.4800000000000001E-2</v>
      </c>
      <c r="I93" s="5">
        <f t="shared" si="6"/>
        <v>2.0899999999999998E-2</v>
      </c>
      <c r="J93" s="6">
        <f t="shared" si="7"/>
        <v>-2.6757876887928357E-4</v>
      </c>
      <c r="K93" s="7">
        <f t="shared" si="8"/>
        <v>2.0626828834851008E-2</v>
      </c>
    </row>
    <row r="94" spans="1:11" x14ac:dyDescent="0.25">
      <c r="A94">
        <v>20031</v>
      </c>
      <c r="B94" s="5">
        <v>2.07E-2</v>
      </c>
      <c r="C94" s="6">
        <v>-8.0999999999999996E-3</v>
      </c>
      <c r="D94" s="7">
        <v>1.26E-2</v>
      </c>
      <c r="I94" s="5">
        <f t="shared" si="6"/>
        <v>2.07E-2</v>
      </c>
      <c r="J94" s="6">
        <f t="shared" si="7"/>
        <v>2.19369693402717E-2</v>
      </c>
      <c r="K94" s="7">
        <f t="shared" si="8"/>
        <v>4.3091064605615292E-2</v>
      </c>
    </row>
    <row r="95" spans="1:11" x14ac:dyDescent="0.25">
      <c r="A95">
        <v>20024</v>
      </c>
      <c r="B95" s="5">
        <v>2.06E-2</v>
      </c>
      <c r="C95" s="6">
        <v>-1.84E-2</v>
      </c>
      <c r="D95" s="7">
        <v>2.0999999999999999E-3</v>
      </c>
      <c r="I95" s="5">
        <f t="shared" si="6"/>
        <v>2.06E-2</v>
      </c>
      <c r="J95" s="6">
        <f t="shared" si="7"/>
        <v>-3.38559162624699E-2</v>
      </c>
      <c r="K95" s="7">
        <f t="shared" si="8"/>
        <v>-1.395334813747684E-2</v>
      </c>
    </row>
    <row r="96" spans="1:11" x14ac:dyDescent="0.25">
      <c r="A96">
        <v>20023</v>
      </c>
      <c r="B96" s="5">
        <v>2.1299999999999999E-2</v>
      </c>
      <c r="C96" s="6">
        <v>-1.3100000000000001E-2</v>
      </c>
      <c r="D96" s="7">
        <v>8.2000000000000007E-3</v>
      </c>
      <c r="I96" s="5">
        <f t="shared" si="6"/>
        <v>2.1299999999999999E-2</v>
      </c>
      <c r="J96" s="6">
        <f t="shared" si="7"/>
        <v>-1.1058652569107753E-2</v>
      </c>
      <c r="K96" s="7">
        <f t="shared" si="8"/>
        <v>1.0005798131170307E-2</v>
      </c>
    </row>
    <row r="97" spans="1:11" x14ac:dyDescent="0.25">
      <c r="A97">
        <v>20022</v>
      </c>
      <c r="B97" s="5">
        <v>2.1899999999999999E-2</v>
      </c>
      <c r="C97" s="6">
        <v>-1.38E-2</v>
      </c>
      <c r="D97" s="7">
        <v>8.0999999999999996E-3</v>
      </c>
      <c r="I97" s="5">
        <f t="shared" si="6"/>
        <v>2.1899999999999999E-2</v>
      </c>
      <c r="J97" s="6">
        <f t="shared" si="7"/>
        <v>-1.875755804645261E-2</v>
      </c>
      <c r="K97" s="7">
        <f t="shared" si="8"/>
        <v>2.7316514323301178E-3</v>
      </c>
    </row>
    <row r="98" spans="1:11" x14ac:dyDescent="0.25">
      <c r="A98">
        <v>20021</v>
      </c>
      <c r="B98" s="5">
        <v>2.1600000000000001E-2</v>
      </c>
      <c r="C98" s="6">
        <v>-1.21E-2</v>
      </c>
      <c r="D98" s="7">
        <v>9.4999999999999998E-3</v>
      </c>
      <c r="I98" s="5">
        <f t="shared" si="6"/>
        <v>2.1600000000000001E-2</v>
      </c>
      <c r="J98" s="6">
        <f t="shared" si="7"/>
        <v>1.4437516601599273E-2</v>
      </c>
      <c r="K98" s="7">
        <f t="shared" si="8"/>
        <v>3.6349366960193974E-2</v>
      </c>
    </row>
    <row r="99" spans="1:11" x14ac:dyDescent="0.25">
      <c r="A99">
        <v>20014</v>
      </c>
      <c r="B99" s="5">
        <v>2.0899999999999998E-2</v>
      </c>
      <c r="C99" s="6">
        <v>-2.12E-2</v>
      </c>
      <c r="D99" s="7">
        <v>-2.9999999999999997E-4</v>
      </c>
      <c r="I99" s="5">
        <f t="shared" si="6"/>
        <v>2.0899999999999998E-2</v>
      </c>
      <c r="J99" s="6">
        <f t="shared" si="7"/>
        <v>-6.3776674987181245E-2</v>
      </c>
      <c r="K99" s="7">
        <f t="shared" si="8"/>
        <v>-4.4209607494413383E-2</v>
      </c>
    </row>
    <row r="100" spans="1:11" x14ac:dyDescent="0.25">
      <c r="A100">
        <v>20013</v>
      </c>
      <c r="B100" s="5">
        <v>2.12E-2</v>
      </c>
      <c r="C100" s="6">
        <v>-6.6E-3</v>
      </c>
      <c r="D100" s="7">
        <v>1.46E-2</v>
      </c>
      <c r="I100" s="5">
        <f t="shared" si="6"/>
        <v>2.12E-2</v>
      </c>
      <c r="J100" s="6">
        <f t="shared" si="7"/>
        <v>-2.9638063862926837E-2</v>
      </c>
      <c r="K100" s="7">
        <f t="shared" si="8"/>
        <v>-9.0663908168208129E-3</v>
      </c>
    </row>
    <row r="101" spans="1:11" x14ac:dyDescent="0.25">
      <c r="A101">
        <v>20012</v>
      </c>
      <c r="B101" s="5">
        <v>2.1999999999999999E-2</v>
      </c>
      <c r="C101" s="6">
        <v>1.2999999999999999E-3</v>
      </c>
      <c r="D101" s="7">
        <v>2.3199999999999998E-2</v>
      </c>
      <c r="I101" s="5">
        <f t="shared" si="6"/>
        <v>2.1999999999999999E-2</v>
      </c>
      <c r="J101" s="6">
        <f t="shared" si="7"/>
        <v>-1.3245895540043235E-3</v>
      </c>
      <c r="K101" s="7">
        <f t="shared" si="8"/>
        <v>2.064626947580761E-2</v>
      </c>
    </row>
    <row r="102" spans="1:11" x14ac:dyDescent="0.25">
      <c r="A102">
        <v>20011</v>
      </c>
      <c r="B102" s="5">
        <v>2.1399999999999999E-2</v>
      </c>
      <c r="C102" s="6">
        <v>2.2000000000000001E-3</v>
      </c>
      <c r="D102" s="7">
        <v>2.35E-2</v>
      </c>
      <c r="I102" s="5">
        <f t="shared" si="6"/>
        <v>2.1399999999999999E-2</v>
      </c>
      <c r="J102" s="6">
        <f t="shared" si="7"/>
        <v>-4.5625854095189884E-2</v>
      </c>
      <c r="K102" s="7">
        <f t="shared" si="8"/>
        <v>-2.5202247372826947E-2</v>
      </c>
    </row>
    <row r="103" spans="1:11" x14ac:dyDescent="0.25">
      <c r="A103">
        <v>20004</v>
      </c>
      <c r="B103" s="5">
        <v>2.1000000000000001E-2</v>
      </c>
      <c r="C103" s="6">
        <v>1.8599999999999998E-2</v>
      </c>
      <c r="D103" s="7">
        <v>3.9600000000000003E-2</v>
      </c>
      <c r="I103" s="5">
        <f t="shared" ref="I103:I134" si="9">+B103</f>
        <v>2.1000000000000001E-2</v>
      </c>
      <c r="J103" s="6">
        <f t="shared" ref="J103:J134" si="10">(C103-($C$2*C104))/(1-$C$2)</f>
        <v>3.7846990062698357E-2</v>
      </c>
      <c r="K103" s="7">
        <f t="shared" ref="K103:K134" si="11">(1+I103)*(1+J103)-1</f>
        <v>5.964177685401495E-2</v>
      </c>
    </row>
    <row r="104" spans="1:11" x14ac:dyDescent="0.25">
      <c r="A104">
        <v>20003</v>
      </c>
      <c r="B104" s="5">
        <v>2.12E-2</v>
      </c>
      <c r="C104" s="6">
        <v>1.2E-2</v>
      </c>
      <c r="D104" s="7">
        <v>3.32E-2</v>
      </c>
      <c r="I104" s="5">
        <f t="shared" si="9"/>
        <v>2.12E-2</v>
      </c>
      <c r="J104" s="6">
        <f t="shared" si="10"/>
        <v>7.9173051382154941E-3</v>
      </c>
      <c r="K104" s="7">
        <f t="shared" si="11"/>
        <v>2.9285152007145765E-2</v>
      </c>
    </row>
    <row r="105" spans="1:11" x14ac:dyDescent="0.25">
      <c r="A105">
        <v>20002</v>
      </c>
      <c r="B105" s="5">
        <v>2.1899999999999999E-2</v>
      </c>
      <c r="C105" s="6">
        <v>1.34E-2</v>
      </c>
      <c r="D105" s="7">
        <v>3.5200000000000002E-2</v>
      </c>
      <c r="I105" s="5">
        <f t="shared" si="9"/>
        <v>2.1899999999999999E-2</v>
      </c>
      <c r="J105" s="6">
        <f t="shared" si="10"/>
        <v>3.1772126878030264E-2</v>
      </c>
      <c r="K105" s="7">
        <f t="shared" si="11"/>
        <v>5.4367936456659161E-2</v>
      </c>
    </row>
    <row r="106" spans="1:11" x14ac:dyDescent="0.25">
      <c r="A106">
        <v>20001</v>
      </c>
      <c r="B106" s="5">
        <v>1.9400000000000001E-2</v>
      </c>
      <c r="C106" s="6">
        <v>7.1000000000000004E-3</v>
      </c>
      <c r="D106" s="7">
        <v>2.6599999999999999E-2</v>
      </c>
      <c r="I106" s="5">
        <f t="shared" si="9"/>
        <v>1.9400000000000001E-2</v>
      </c>
      <c r="J106" s="6">
        <f t="shared" si="10"/>
        <v>-2.8151160929052242E-3</v>
      </c>
      <c r="K106" s="7">
        <f t="shared" si="11"/>
        <v>1.6530270654892432E-2</v>
      </c>
    </row>
    <row r="107" spans="1:11" x14ac:dyDescent="0.25">
      <c r="A107">
        <v>19994</v>
      </c>
      <c r="B107" s="5">
        <v>1.9099999999999999E-2</v>
      </c>
      <c r="C107" s="6">
        <v>1.0500000000000001E-2</v>
      </c>
      <c r="D107" s="7">
        <v>2.9600000000000001E-2</v>
      </c>
      <c r="I107" s="5">
        <f t="shared" si="9"/>
        <v>1.9099999999999999E-2</v>
      </c>
      <c r="J107" s="6">
        <f t="shared" si="10"/>
        <v>6.1256840766594611E-3</v>
      </c>
      <c r="K107" s="7">
        <f t="shared" si="11"/>
        <v>2.5342684642523539E-2</v>
      </c>
    </row>
    <row r="108" spans="1:11" x14ac:dyDescent="0.25">
      <c r="A108">
        <v>19993</v>
      </c>
      <c r="B108" s="5">
        <v>1.9599999999999999E-2</v>
      </c>
      <c r="C108" s="6">
        <v>1.2E-2</v>
      </c>
      <c r="D108" s="7">
        <v>3.1600000000000003E-2</v>
      </c>
      <c r="I108" s="5">
        <f t="shared" si="9"/>
        <v>1.9599999999999999E-2</v>
      </c>
      <c r="J108" s="6">
        <f t="shared" si="10"/>
        <v>2.4831326708465582E-2</v>
      </c>
      <c r="K108" s="7">
        <f t="shared" si="11"/>
        <v>4.4918020711951723E-2</v>
      </c>
    </row>
    <row r="109" spans="1:11" x14ac:dyDescent="0.25">
      <c r="A109">
        <v>19992</v>
      </c>
      <c r="B109" s="5">
        <v>2.0400000000000001E-2</v>
      </c>
      <c r="C109" s="6">
        <v>7.6E-3</v>
      </c>
      <c r="D109" s="7">
        <v>2.8000000000000001E-2</v>
      </c>
      <c r="I109" s="5">
        <f t="shared" si="9"/>
        <v>2.0400000000000001E-2</v>
      </c>
      <c r="J109" s="6">
        <f t="shared" si="10"/>
        <v>5.8502736306637812E-3</v>
      </c>
      <c r="K109" s="7">
        <f t="shared" si="11"/>
        <v>2.63696192127294E-2</v>
      </c>
    </row>
    <row r="110" spans="1:11" x14ac:dyDescent="0.25">
      <c r="A110">
        <v>19991</v>
      </c>
      <c r="B110" s="5">
        <v>1.95E-2</v>
      </c>
      <c r="C110" s="6">
        <v>8.2000000000000007E-3</v>
      </c>
      <c r="D110" s="7">
        <v>2.7699999999999999E-2</v>
      </c>
      <c r="I110" s="5">
        <f t="shared" si="9"/>
        <v>1.95E-2</v>
      </c>
      <c r="J110" s="6">
        <f t="shared" si="10"/>
        <v>-3.0002359063840696E-2</v>
      </c>
      <c r="K110" s="7">
        <f t="shared" si="11"/>
        <v>-1.1087405065585587E-2</v>
      </c>
    </row>
    <row r="111" spans="1:11" x14ac:dyDescent="0.25">
      <c r="A111">
        <v>19984</v>
      </c>
      <c r="B111" s="5">
        <v>2.0199999999999999E-2</v>
      </c>
      <c r="C111" s="6">
        <v>2.1299999999999999E-2</v>
      </c>
      <c r="D111" s="7">
        <v>4.1500000000000002E-2</v>
      </c>
      <c r="I111" s="5">
        <f t="shared" si="9"/>
        <v>2.0199999999999999E-2</v>
      </c>
      <c r="J111" s="6">
        <f t="shared" si="10"/>
        <v>3.3256463523797471E-2</v>
      </c>
      <c r="K111" s="7">
        <f t="shared" si="11"/>
        <v>5.4128244086978139E-2</v>
      </c>
    </row>
    <row r="112" spans="1:11" x14ac:dyDescent="0.25">
      <c r="A112">
        <v>19983</v>
      </c>
      <c r="B112" s="5">
        <v>2.1000000000000001E-2</v>
      </c>
      <c r="C112" s="6">
        <v>1.72E-2</v>
      </c>
      <c r="D112" s="7">
        <v>3.8199999999999998E-2</v>
      </c>
      <c r="I112" s="5">
        <f t="shared" si="9"/>
        <v>2.1000000000000001E-2</v>
      </c>
      <c r="J112" s="6">
        <f t="shared" si="10"/>
        <v>-1.3420211463383768E-2</v>
      </c>
      <c r="K112" s="7">
        <f t="shared" si="11"/>
        <v>7.2979640958850123E-3</v>
      </c>
    </row>
    <row r="113" spans="1:11" x14ac:dyDescent="0.25">
      <c r="A113">
        <v>19982</v>
      </c>
      <c r="B113" s="5">
        <v>2.1000000000000001E-2</v>
      </c>
      <c r="C113" s="6">
        <v>2.7699999999999999E-2</v>
      </c>
      <c r="D113" s="7">
        <v>4.87E-2</v>
      </c>
      <c r="I113" s="5">
        <f t="shared" si="9"/>
        <v>2.1000000000000001E-2</v>
      </c>
      <c r="J113" s="6">
        <f t="shared" si="10"/>
        <v>1.3118946922198204E-2</v>
      </c>
      <c r="K113" s="7">
        <f t="shared" si="11"/>
        <v>3.4394444807564151E-2</v>
      </c>
    </row>
    <row r="114" spans="1:11" x14ac:dyDescent="0.25">
      <c r="A114">
        <v>19981</v>
      </c>
      <c r="B114" s="5">
        <v>2.2100000000000002E-2</v>
      </c>
      <c r="C114" s="6">
        <v>3.27E-2</v>
      </c>
      <c r="D114" s="7">
        <v>5.4800000000000001E-2</v>
      </c>
      <c r="I114" s="5">
        <f t="shared" si="9"/>
        <v>2.2100000000000002E-2</v>
      </c>
      <c r="J114" s="6">
        <f t="shared" si="10"/>
        <v>2.9546517212843395E-3</v>
      </c>
      <c r="K114" s="7">
        <f t="shared" si="11"/>
        <v>2.5119949524324836E-2</v>
      </c>
    </row>
    <row r="115" spans="1:11" x14ac:dyDescent="0.25">
      <c r="A115">
        <v>19974</v>
      </c>
      <c r="B115" s="5">
        <v>2.2499999999999999E-2</v>
      </c>
      <c r="C115" s="6">
        <v>4.2900000000000001E-2</v>
      </c>
      <c r="D115" s="7">
        <v>6.5500000000000003E-2</v>
      </c>
      <c r="I115" s="5">
        <f t="shared" si="9"/>
        <v>2.2499999999999999E-2</v>
      </c>
      <c r="J115" s="6">
        <f t="shared" si="10"/>
        <v>0.12192930768168572</v>
      </c>
      <c r="K115" s="7">
        <f t="shared" si="11"/>
        <v>0.14717271710452362</v>
      </c>
    </row>
    <row r="116" spans="1:11" x14ac:dyDescent="0.25">
      <c r="A116">
        <v>19973</v>
      </c>
      <c r="B116" s="5">
        <v>2.29E-2</v>
      </c>
      <c r="C116" s="6">
        <v>1.5800000000000002E-2</v>
      </c>
      <c r="D116" s="7">
        <v>3.8699999999999998E-2</v>
      </c>
      <c r="I116" s="5">
        <f t="shared" si="9"/>
        <v>2.29E-2</v>
      </c>
      <c r="J116" s="6">
        <f t="shared" si="10"/>
        <v>3.1255916262469902E-2</v>
      </c>
      <c r="K116" s="7">
        <f t="shared" si="11"/>
        <v>5.4871676744880471E-2</v>
      </c>
    </row>
    <row r="117" spans="1:11" x14ac:dyDescent="0.25">
      <c r="A117">
        <v>19972</v>
      </c>
      <c r="B117" s="5">
        <v>2.3E-2</v>
      </c>
      <c r="C117" s="6">
        <v>1.0500000000000001E-2</v>
      </c>
      <c r="D117" s="7">
        <v>3.3599999999999998E-2</v>
      </c>
      <c r="I117" s="5">
        <f t="shared" si="9"/>
        <v>2.3E-2</v>
      </c>
      <c r="J117" s="6">
        <f t="shared" si="10"/>
        <v>1.7498905477344864E-2</v>
      </c>
      <c r="K117" s="7">
        <f t="shared" si="11"/>
        <v>4.0901380303323798E-2</v>
      </c>
    </row>
    <row r="118" spans="1:11" x14ac:dyDescent="0.25">
      <c r="A118">
        <v>19971</v>
      </c>
      <c r="B118" s="5">
        <v>2.24E-2</v>
      </c>
      <c r="C118" s="6">
        <v>8.0999999999999996E-3</v>
      </c>
      <c r="D118" s="7">
        <v>3.04E-2</v>
      </c>
      <c r="I118" s="5">
        <f t="shared" si="9"/>
        <v>2.24E-2</v>
      </c>
      <c r="J118" s="6">
        <f t="shared" si="10"/>
        <v>-5.0807454434319249E-2</v>
      </c>
      <c r="K118" s="7">
        <f t="shared" si="11"/>
        <v>-2.9545541413647958E-2</v>
      </c>
    </row>
    <row r="119" spans="1:11" x14ac:dyDescent="0.25">
      <c r="A119">
        <v>19964</v>
      </c>
      <c r="B119" s="5">
        <v>2.1299999999999999E-2</v>
      </c>
      <c r="C119" s="6">
        <v>2.8299999999999999E-2</v>
      </c>
      <c r="D119" s="7">
        <v>4.9599999999999998E-2</v>
      </c>
      <c r="I119" s="5">
        <f t="shared" si="9"/>
        <v>2.1299999999999999E-2</v>
      </c>
      <c r="J119" s="6">
        <f t="shared" si="10"/>
        <v>9.9163917958116715E-2</v>
      </c>
      <c r="K119" s="7">
        <f t="shared" si="11"/>
        <v>0.1225761094106248</v>
      </c>
    </row>
    <row r="120" spans="1:11" x14ac:dyDescent="0.25">
      <c r="A120">
        <v>19963</v>
      </c>
      <c r="B120" s="5">
        <v>2.1700000000000001E-2</v>
      </c>
      <c r="C120" s="6">
        <v>4.0000000000000001E-3</v>
      </c>
      <c r="D120" s="7">
        <v>2.5700000000000001E-2</v>
      </c>
      <c r="I120" s="5">
        <f t="shared" si="9"/>
        <v>2.1700000000000001E-2</v>
      </c>
      <c r="J120" s="6">
        <f t="shared" si="10"/>
        <v>2.8335157537758564E-3</v>
      </c>
      <c r="K120" s="7">
        <f t="shared" si="11"/>
        <v>2.459500304563278E-2</v>
      </c>
    </row>
    <row r="121" spans="1:11" x14ac:dyDescent="0.25">
      <c r="A121">
        <v>19962</v>
      </c>
      <c r="B121" s="5">
        <v>2.3E-2</v>
      </c>
      <c r="C121" s="6">
        <v>4.4000000000000003E-3</v>
      </c>
      <c r="D121" s="7">
        <v>2.75E-2</v>
      </c>
      <c r="I121" s="5">
        <f t="shared" si="9"/>
        <v>2.3E-2</v>
      </c>
      <c r="J121" s="6">
        <f t="shared" si="10"/>
        <v>1.7754104459956769E-3</v>
      </c>
      <c r="K121" s="7">
        <f t="shared" si="11"/>
        <v>2.4816244886253447E-2</v>
      </c>
    </row>
    <row r="122" spans="1:11" x14ac:dyDescent="0.25">
      <c r="A122">
        <v>19961</v>
      </c>
      <c r="B122" s="5">
        <v>2.1399999999999999E-2</v>
      </c>
      <c r="C122" s="6">
        <v>5.3E-3</v>
      </c>
      <c r="D122" s="7">
        <v>2.6700000000000002E-2</v>
      </c>
      <c r="I122" s="5">
        <f t="shared" si="9"/>
        <v>2.1399999999999999E-2</v>
      </c>
      <c r="J122" s="6">
        <f t="shared" si="10"/>
        <v>5.8958275326310608E-2</v>
      </c>
      <c r="K122" s="7">
        <f t="shared" si="11"/>
        <v>8.1619982418293935E-2</v>
      </c>
    </row>
    <row r="123" spans="1:11" x14ac:dyDescent="0.25">
      <c r="A123">
        <v>19954</v>
      </c>
      <c r="B123" s="5">
        <v>2.2499999999999999E-2</v>
      </c>
      <c r="C123" s="6">
        <v>-1.3100000000000001E-2</v>
      </c>
      <c r="D123" s="7">
        <v>9.4999999999999998E-3</v>
      </c>
      <c r="I123" s="5">
        <f t="shared" si="9"/>
        <v>2.2499999999999999E-2</v>
      </c>
      <c r="J123" s="6">
        <f t="shared" si="10"/>
        <v>-4.7511285263612243E-2</v>
      </c>
      <c r="K123" s="7">
        <f t="shared" si="11"/>
        <v>-2.6080289182043526E-2</v>
      </c>
    </row>
    <row r="124" spans="1:11" x14ac:dyDescent="0.25">
      <c r="A124">
        <v>19953</v>
      </c>
      <c r="B124" s="5">
        <v>2.3E-2</v>
      </c>
      <c r="C124" s="6">
        <v>-1.2999999999999999E-3</v>
      </c>
      <c r="D124" s="7">
        <v>2.1700000000000001E-2</v>
      </c>
      <c r="I124" s="5">
        <f t="shared" si="9"/>
        <v>2.3E-2</v>
      </c>
      <c r="J124" s="6">
        <f t="shared" si="10"/>
        <v>7.1570107851250415E-3</v>
      </c>
      <c r="K124" s="7">
        <f t="shared" si="11"/>
        <v>3.0321622033182782E-2</v>
      </c>
    </row>
    <row r="125" spans="1:11" x14ac:dyDescent="0.25">
      <c r="A125">
        <v>19952</v>
      </c>
      <c r="B125" s="5">
        <v>2.3900000000000001E-2</v>
      </c>
      <c r="C125" s="6">
        <v>-4.1999999999999997E-3</v>
      </c>
      <c r="D125" s="7">
        <v>1.9800000000000002E-2</v>
      </c>
      <c r="I125" s="5">
        <f t="shared" si="9"/>
        <v>2.3900000000000001E-2</v>
      </c>
      <c r="J125" s="6">
        <f t="shared" si="10"/>
        <v>-3.3251368153318925E-3</v>
      </c>
      <c r="K125" s="7">
        <f t="shared" si="11"/>
        <v>2.049539241478171E-2</v>
      </c>
    </row>
    <row r="126" spans="1:11" x14ac:dyDescent="0.25">
      <c r="A126">
        <v>19951</v>
      </c>
      <c r="B126" s="5">
        <v>2.3599999999999999E-2</v>
      </c>
      <c r="C126" s="6">
        <v>-4.4999999999999997E-3</v>
      </c>
      <c r="D126" s="7">
        <v>1.9099999999999999E-2</v>
      </c>
      <c r="I126" s="5">
        <f t="shared" si="9"/>
        <v>2.3599999999999999E-2</v>
      </c>
      <c r="J126" s="6">
        <f t="shared" si="10"/>
        <v>1.9412927047594945E-2</v>
      </c>
      <c r="K126" s="7">
        <f t="shared" si="11"/>
        <v>4.3471072125918164E-2</v>
      </c>
    </row>
    <row r="127" spans="1:11" x14ac:dyDescent="0.25">
      <c r="A127">
        <v>19944</v>
      </c>
      <c r="B127" s="5">
        <v>2.35E-2</v>
      </c>
      <c r="C127" s="6">
        <v>-1.2699999999999999E-2</v>
      </c>
      <c r="D127" s="7">
        <v>1.0800000000000001E-2</v>
      </c>
      <c r="I127" s="5">
        <f t="shared" si="9"/>
        <v>2.35E-2</v>
      </c>
      <c r="J127" s="6">
        <f t="shared" si="10"/>
        <v>6.8386111242544102E-3</v>
      </c>
      <c r="K127" s="7">
        <f t="shared" si="11"/>
        <v>3.0499318485674554E-2</v>
      </c>
    </row>
    <row r="128" spans="1:11" x14ac:dyDescent="0.25">
      <c r="A128">
        <v>19943</v>
      </c>
      <c r="B128" s="5">
        <v>2.2599999999999999E-2</v>
      </c>
      <c r="C128" s="6">
        <v>-1.9400000000000001E-2</v>
      </c>
      <c r="D128" s="7">
        <v>3.2000000000000002E-3</v>
      </c>
      <c r="I128" s="5">
        <f t="shared" si="9"/>
        <v>2.2599999999999999E-2</v>
      </c>
      <c r="J128" s="6">
        <f t="shared" si="10"/>
        <v>-5.6435874817616562E-2</v>
      </c>
      <c r="K128" s="7">
        <f t="shared" si="11"/>
        <v>-3.5111325588494724E-2</v>
      </c>
    </row>
    <row r="129" spans="1:11" x14ac:dyDescent="0.25">
      <c r="A129">
        <v>19942</v>
      </c>
      <c r="B129" s="5">
        <v>2.23E-2</v>
      </c>
      <c r="C129" s="6">
        <v>-6.7000000000000002E-3</v>
      </c>
      <c r="D129" s="7">
        <v>1.5599999999999999E-2</v>
      </c>
      <c r="I129" s="5">
        <f t="shared" si="9"/>
        <v>2.23E-2</v>
      </c>
      <c r="J129" s="6">
        <f t="shared" si="10"/>
        <v>1.0214021570250082E-2</v>
      </c>
      <c r="K129" s="7">
        <f t="shared" si="11"/>
        <v>3.2741794251266443E-2</v>
      </c>
    </row>
    <row r="130" spans="1:11" x14ac:dyDescent="0.25">
      <c r="A130">
        <v>19941</v>
      </c>
      <c r="B130" s="5">
        <v>2.1600000000000001E-2</v>
      </c>
      <c r="C130" s="6">
        <v>-1.2500000000000001E-2</v>
      </c>
      <c r="D130" s="7">
        <v>9.1000000000000004E-3</v>
      </c>
      <c r="I130" s="5">
        <f t="shared" si="9"/>
        <v>2.1600000000000001E-2</v>
      </c>
      <c r="J130" s="6">
        <f t="shared" si="10"/>
        <v>0.101232214006854</v>
      </c>
      <c r="K130" s="7">
        <f t="shared" si="11"/>
        <v>0.12501882982940216</v>
      </c>
    </row>
    <row r="131" spans="1:11" x14ac:dyDescent="0.25">
      <c r="A131">
        <v>19934</v>
      </c>
      <c r="B131" s="5">
        <v>2.1399999999999999E-2</v>
      </c>
      <c r="C131" s="6">
        <v>-5.1499999999999997E-2</v>
      </c>
      <c r="D131" s="7">
        <v>-3.0099999999999998E-2</v>
      </c>
      <c r="I131" s="5">
        <f t="shared" si="9"/>
        <v>2.1399999999999999E-2</v>
      </c>
      <c r="J131" s="6">
        <f t="shared" si="10"/>
        <v>-0.15590034003706085</v>
      </c>
      <c r="K131" s="7">
        <f t="shared" si="11"/>
        <v>-0.13783660731385394</v>
      </c>
    </row>
    <row r="132" spans="1:11" x14ac:dyDescent="0.25">
      <c r="A132">
        <v>19933</v>
      </c>
      <c r="B132" s="5">
        <v>2.06E-2</v>
      </c>
      <c r="C132" s="6">
        <v>-1.5699999999999999E-2</v>
      </c>
      <c r="D132" s="7">
        <v>4.8999999999999998E-3</v>
      </c>
      <c r="I132" s="5">
        <f t="shared" si="9"/>
        <v>2.06E-2</v>
      </c>
      <c r="J132" s="6">
        <f t="shared" si="10"/>
        <v>5.0789602034776185E-2</v>
      </c>
      <c r="K132" s="7">
        <f t="shared" si="11"/>
        <v>7.2435867836692536E-2</v>
      </c>
    </row>
    <row r="133" spans="1:11" x14ac:dyDescent="0.25">
      <c r="A133">
        <v>19932</v>
      </c>
      <c r="B133" s="5">
        <v>1.9099999999999999E-2</v>
      </c>
      <c r="C133" s="6">
        <v>-3.85E-2</v>
      </c>
      <c r="D133" s="7">
        <v>-1.9400000000000001E-2</v>
      </c>
      <c r="I133" s="5">
        <f t="shared" si="9"/>
        <v>1.9099999999999999E-2</v>
      </c>
      <c r="J133" s="6">
        <f t="shared" si="10"/>
        <v>-0.10382311778855205</v>
      </c>
      <c r="K133" s="7">
        <f t="shared" si="11"/>
        <v>-8.6706139338313504E-2</v>
      </c>
    </row>
    <row r="134" spans="1:11" x14ac:dyDescent="0.25">
      <c r="A134">
        <v>19931</v>
      </c>
      <c r="B134" s="5">
        <v>2.1000000000000001E-2</v>
      </c>
      <c r="C134" s="6">
        <v>-1.61E-2</v>
      </c>
      <c r="D134" s="7">
        <v>5.0000000000000001E-3</v>
      </c>
      <c r="I134" s="5">
        <f t="shared" si="9"/>
        <v>2.1000000000000001E-2</v>
      </c>
      <c r="J134" s="6">
        <f t="shared" si="10"/>
        <v>0.14691617340982407</v>
      </c>
      <c r="K134" s="7">
        <f t="shared" si="11"/>
        <v>0.17100141305143035</v>
      </c>
    </row>
    <row r="135" spans="1:11" x14ac:dyDescent="0.25">
      <c r="A135">
        <v>19924</v>
      </c>
      <c r="B135" s="5">
        <v>1.9E-2</v>
      </c>
      <c r="C135" s="6">
        <v>-7.1999999999999995E-2</v>
      </c>
      <c r="D135" s="7">
        <v>-5.2999999999999999E-2</v>
      </c>
      <c r="I135" s="5">
        <f t="shared" ref="I135:I166" si="12">+B135</f>
        <v>1.9E-2</v>
      </c>
      <c r="J135" s="6">
        <f t="shared" ref="J135:J166" si="13">(C135-($C$2*C136))/(1-$C$2)</f>
        <v>-0.20031326708465577</v>
      </c>
      <c r="K135" s="7">
        <f t="shared" ref="K135:K166" si="14">(1+I135)*(1+J135)-1</f>
        <v>-0.18511921915926433</v>
      </c>
    </row>
    <row r="136" spans="1:11" x14ac:dyDescent="0.25">
      <c r="A136">
        <v>19923</v>
      </c>
      <c r="B136" s="5">
        <v>1.8200000000000001E-2</v>
      </c>
      <c r="C136" s="6">
        <v>-2.8000000000000001E-2</v>
      </c>
      <c r="D136" s="7">
        <v>-9.9000000000000008E-3</v>
      </c>
      <c r="I136" s="5">
        <f t="shared" si="12"/>
        <v>1.8200000000000001E-2</v>
      </c>
      <c r="J136" s="6">
        <f t="shared" si="13"/>
        <v>3.2034535864958408E-3</v>
      </c>
      <c r="K136" s="7">
        <f t="shared" si="14"/>
        <v>2.1461756441770063E-2</v>
      </c>
    </row>
    <row r="137" spans="1:11" x14ac:dyDescent="0.25">
      <c r="A137">
        <v>19922</v>
      </c>
      <c r="B137" s="5">
        <v>1.9900000000000001E-2</v>
      </c>
      <c r="C137" s="6">
        <v>-3.8699999999999998E-2</v>
      </c>
      <c r="D137" s="7">
        <v>-1.8800000000000001E-2</v>
      </c>
      <c r="I137" s="5">
        <f t="shared" si="12"/>
        <v>1.9900000000000001E-2</v>
      </c>
      <c r="J137" s="6">
        <f t="shared" si="13"/>
        <v>-9.8773938680543391E-2</v>
      </c>
      <c r="K137" s="7">
        <f t="shared" si="14"/>
        <v>-8.0839540060286152E-2</v>
      </c>
    </row>
    <row r="138" spans="1:11" x14ac:dyDescent="0.25">
      <c r="A138">
        <v>19921</v>
      </c>
      <c r="B138" s="5">
        <v>1.7600000000000001E-2</v>
      </c>
      <c r="C138" s="6">
        <v>-1.8100000000000002E-2</v>
      </c>
      <c r="D138" s="7">
        <v>-5.0000000000000001E-4</v>
      </c>
      <c r="I138" s="5">
        <f t="shared" si="12"/>
        <v>1.7600000000000001E-2</v>
      </c>
      <c r="J138" s="6">
        <f t="shared" si="13"/>
        <v>0.2280281759532943</v>
      </c>
      <c r="K138" s="7">
        <f t="shared" si="14"/>
        <v>0.24964147185007235</v>
      </c>
    </row>
    <row r="139" spans="1:11" x14ac:dyDescent="0.25">
      <c r="A139">
        <v>19914</v>
      </c>
      <c r="B139" s="5">
        <v>1.6E-2</v>
      </c>
      <c r="C139" s="6">
        <v>-0.10249999999999999</v>
      </c>
      <c r="D139" s="7">
        <v>-8.6400000000000005E-2</v>
      </c>
      <c r="I139" s="5">
        <f t="shared" si="12"/>
        <v>1.6E-2</v>
      </c>
      <c r="J139" s="6">
        <f t="shared" si="13"/>
        <v>-0.31800796448991048</v>
      </c>
      <c r="K139" s="7">
        <f t="shared" si="14"/>
        <v>-0.30709609192174914</v>
      </c>
    </row>
    <row r="140" spans="1:11" x14ac:dyDescent="0.25">
      <c r="A140">
        <v>19913</v>
      </c>
      <c r="B140" s="5">
        <v>1.6E-2</v>
      </c>
      <c r="C140" s="6">
        <v>-2.86E-2</v>
      </c>
      <c r="D140" s="7">
        <v>-1.26E-2</v>
      </c>
      <c r="I140" s="5">
        <f t="shared" si="12"/>
        <v>1.6E-2</v>
      </c>
      <c r="J140" s="6">
        <f t="shared" si="13"/>
        <v>-2.8016757876887934E-2</v>
      </c>
      <c r="K140" s="7">
        <f t="shared" si="14"/>
        <v>-1.24650260029181E-2</v>
      </c>
    </row>
    <row r="141" spans="1:11" x14ac:dyDescent="0.25">
      <c r="A141">
        <v>19912</v>
      </c>
      <c r="B141" s="5">
        <v>1.6199999999999999E-2</v>
      </c>
      <c r="C141" s="6">
        <v>-2.8799999999999999E-2</v>
      </c>
      <c r="D141" s="7">
        <v>-1.26E-2</v>
      </c>
      <c r="I141" s="5">
        <f t="shared" si="12"/>
        <v>1.6199999999999999E-2</v>
      </c>
      <c r="J141" s="6">
        <f t="shared" si="13"/>
        <v>-5.0088337493590616E-2</v>
      </c>
      <c r="K141" s="7">
        <f t="shared" si="14"/>
        <v>-3.4699768560986777E-2</v>
      </c>
    </row>
    <row r="142" spans="1:11" x14ac:dyDescent="0.25">
      <c r="A142">
        <v>19911</v>
      </c>
      <c r="B142" s="5">
        <v>1.5800000000000002E-2</v>
      </c>
      <c r="C142" s="6">
        <v>-2.1499999999999998E-2</v>
      </c>
      <c r="D142" s="7">
        <v>-5.7000000000000002E-3</v>
      </c>
      <c r="I142" s="5">
        <f t="shared" si="12"/>
        <v>1.5800000000000002E-2</v>
      </c>
      <c r="J142" s="6">
        <f t="shared" si="13"/>
        <v>6.0153897235690069E-2</v>
      </c>
      <c r="K142" s="7">
        <f t="shared" si="14"/>
        <v>7.6904328812013922E-2</v>
      </c>
    </row>
    <row r="143" spans="1:11" x14ac:dyDescent="0.25">
      <c r="A143">
        <v>19904</v>
      </c>
      <c r="B143" s="5">
        <v>1.5800000000000002E-2</v>
      </c>
      <c r="C143" s="6">
        <v>-4.9500000000000002E-2</v>
      </c>
      <c r="D143" s="7">
        <v>-3.3799999999999997E-2</v>
      </c>
      <c r="I143" s="5">
        <f t="shared" si="12"/>
        <v>1.5800000000000002E-2</v>
      </c>
      <c r="J143" s="6">
        <f t="shared" si="13"/>
        <v>-0.162940592945298</v>
      </c>
      <c r="K143" s="7">
        <f t="shared" si="14"/>
        <v>-0.1497150543138337</v>
      </c>
    </row>
    <row r="144" spans="1:11" x14ac:dyDescent="0.25">
      <c r="A144">
        <v>19903</v>
      </c>
      <c r="B144" s="5">
        <v>1.55E-2</v>
      </c>
      <c r="C144" s="6">
        <v>-1.06E-2</v>
      </c>
      <c r="D144" s="7">
        <v>4.8999999999999998E-3</v>
      </c>
      <c r="I144" s="5">
        <f t="shared" si="12"/>
        <v>1.55E-2</v>
      </c>
      <c r="J144" s="6">
        <f t="shared" si="13"/>
        <v>-2.0515116092905222E-2</v>
      </c>
      <c r="K144" s="7">
        <f t="shared" si="14"/>
        <v>-5.3331003923452469E-3</v>
      </c>
    </row>
    <row r="145" spans="1:11" x14ac:dyDescent="0.25">
      <c r="A145">
        <v>19902</v>
      </c>
      <c r="B145" s="5">
        <v>1.49E-2</v>
      </c>
      <c r="C145" s="6">
        <v>-7.1999999999999998E-3</v>
      </c>
      <c r="D145" s="7">
        <v>7.7000000000000002E-3</v>
      </c>
      <c r="I145" s="5">
        <f t="shared" si="12"/>
        <v>1.49E-2</v>
      </c>
      <c r="J145" s="6">
        <f t="shared" si="13"/>
        <v>-1.6531873969793148E-2</v>
      </c>
      <c r="K145" s="7">
        <f t="shared" si="14"/>
        <v>-1.8781988919431836E-3</v>
      </c>
    </row>
    <row r="146" spans="1:11" x14ac:dyDescent="0.25">
      <c r="A146">
        <v>19901</v>
      </c>
      <c r="B146" s="5">
        <v>1.52E-2</v>
      </c>
      <c r="C146" s="6">
        <v>-4.0000000000000001E-3</v>
      </c>
      <c r="D146" s="7">
        <v>1.12E-2</v>
      </c>
      <c r="I146" s="5">
        <f t="shared" si="12"/>
        <v>1.52E-2</v>
      </c>
      <c r="J146" s="6">
        <f t="shared" si="13"/>
        <v>2.6911832524939804E-2</v>
      </c>
      <c r="K146" s="7">
        <f t="shared" si="14"/>
        <v>4.2520892379318997E-2</v>
      </c>
    </row>
    <row r="147" spans="1:11" x14ac:dyDescent="0.25">
      <c r="A147">
        <v>19894</v>
      </c>
      <c r="B147" s="5">
        <v>1.49E-2</v>
      </c>
      <c r="C147" s="6">
        <v>-1.46E-2</v>
      </c>
      <c r="D147" s="7">
        <v>2.9999999999999997E-4</v>
      </c>
      <c r="I147" s="5">
        <f t="shared" si="12"/>
        <v>1.49E-2</v>
      </c>
      <c r="J147" s="6">
        <f t="shared" si="13"/>
        <v>-4.9594527386724305E-2</v>
      </c>
      <c r="K147" s="7">
        <f t="shared" si="14"/>
        <v>-3.5433485844786561E-2</v>
      </c>
    </row>
    <row r="148" spans="1:11" x14ac:dyDescent="0.25">
      <c r="A148">
        <v>19893</v>
      </c>
      <c r="B148" s="5">
        <v>1.52E-2</v>
      </c>
      <c r="C148" s="6">
        <v>-2.5999999999999999E-3</v>
      </c>
      <c r="D148" s="7">
        <v>1.2500000000000001E-2</v>
      </c>
      <c r="I148" s="5">
        <f t="shared" si="12"/>
        <v>1.52E-2</v>
      </c>
      <c r="J148" s="6">
        <f t="shared" si="13"/>
        <v>-1.0473768662012968E-2</v>
      </c>
      <c r="K148" s="7">
        <f t="shared" si="14"/>
        <v>4.5670300543245723E-3</v>
      </c>
    </row>
    <row r="149" spans="1:11" x14ac:dyDescent="0.25">
      <c r="A149">
        <v>19892</v>
      </c>
      <c r="B149" s="5">
        <v>1.6199999999999999E-2</v>
      </c>
      <c r="C149" s="6">
        <v>1E-4</v>
      </c>
      <c r="D149" s="7">
        <v>1.6299999999999999E-2</v>
      </c>
      <c r="I149" s="5">
        <f t="shared" si="12"/>
        <v>1.6199999999999999E-2</v>
      </c>
      <c r="J149" s="6">
        <f t="shared" si="13"/>
        <v>1.3222947770021615E-2</v>
      </c>
      <c r="K149" s="7">
        <f t="shared" si="14"/>
        <v>2.9637159523896006E-2</v>
      </c>
    </row>
    <row r="150" spans="1:11" x14ac:dyDescent="0.25">
      <c r="A150">
        <v>19891</v>
      </c>
      <c r="B150" s="5">
        <v>1.61E-2</v>
      </c>
      <c r="C150" s="6">
        <v>-4.4000000000000003E-3</v>
      </c>
      <c r="D150" s="7">
        <v>1.18E-2</v>
      </c>
      <c r="I150" s="5">
        <f t="shared" si="12"/>
        <v>1.61E-2</v>
      </c>
      <c r="J150" s="6">
        <f t="shared" si="13"/>
        <v>-6.7329684924482885E-3</v>
      </c>
      <c r="K150" s="7">
        <f t="shared" si="14"/>
        <v>9.2586307148232461E-3</v>
      </c>
    </row>
    <row r="151" spans="1:11" x14ac:dyDescent="0.25">
      <c r="A151">
        <v>19884</v>
      </c>
      <c r="B151" s="5">
        <v>1.5800000000000002E-2</v>
      </c>
      <c r="C151" s="6">
        <v>-3.5999999999999999E-3</v>
      </c>
      <c r="D151" s="7">
        <v>1.2200000000000001E-2</v>
      </c>
      <c r="I151" s="5">
        <f t="shared" si="12"/>
        <v>1.5800000000000002E-2</v>
      </c>
      <c r="J151" s="6">
        <f t="shared" si="13"/>
        <v>-2.4888337493590623E-2</v>
      </c>
      <c r="K151" s="7">
        <f t="shared" si="14"/>
        <v>-9.4815732259893037E-3</v>
      </c>
    </row>
    <row r="152" spans="1:11" x14ac:dyDescent="0.25">
      <c r="A152">
        <v>19883</v>
      </c>
      <c r="B152" s="5">
        <v>1.6199999999999999E-2</v>
      </c>
      <c r="C152" s="6">
        <v>3.7000000000000002E-3</v>
      </c>
      <c r="D152" s="7">
        <v>1.9800000000000002E-2</v>
      </c>
      <c r="I152" s="5">
        <f t="shared" si="12"/>
        <v>1.6199999999999999E-2</v>
      </c>
      <c r="J152" s="6">
        <f t="shared" si="13"/>
        <v>2.9362653416931162E-2</v>
      </c>
      <c r="K152" s="7">
        <f t="shared" si="14"/>
        <v>4.6038328402285389E-2</v>
      </c>
    </row>
    <row r="153" spans="1:11" x14ac:dyDescent="0.25">
      <c r="A153">
        <v>19882</v>
      </c>
      <c r="B153" s="5">
        <v>1.6299999999999999E-2</v>
      </c>
      <c r="C153" s="6">
        <v>-5.1000000000000004E-3</v>
      </c>
      <c r="D153" s="7">
        <v>1.12E-2</v>
      </c>
      <c r="I153" s="5">
        <f t="shared" si="12"/>
        <v>1.6299999999999999E-2</v>
      </c>
      <c r="J153" s="6">
        <f t="shared" si="13"/>
        <v>-1.6473221400685401E-2</v>
      </c>
      <c r="K153" s="7">
        <f t="shared" si="14"/>
        <v>-4.417349095166001E-4</v>
      </c>
    </row>
    <row r="154" spans="1:11" x14ac:dyDescent="0.25">
      <c r="A154">
        <v>19881</v>
      </c>
      <c r="B154" s="5">
        <v>1.66E-2</v>
      </c>
      <c r="C154" s="6">
        <v>-1.1999999999999999E-3</v>
      </c>
      <c r="D154" s="7">
        <v>1.5299999999999999E-2</v>
      </c>
      <c r="I154" s="5">
        <f t="shared" si="12"/>
        <v>1.66E-2</v>
      </c>
      <c r="J154" s="6">
        <f t="shared" si="13"/>
        <v>1.9505095370478551E-2</v>
      </c>
      <c r="K154" s="7">
        <f t="shared" si="14"/>
        <v>3.6428879953628313E-2</v>
      </c>
    </row>
    <row r="155" spans="1:11" x14ac:dyDescent="0.25">
      <c r="A155">
        <v>19874</v>
      </c>
      <c r="B155" s="5">
        <v>1.6500000000000001E-2</v>
      </c>
      <c r="C155" s="6">
        <v>-8.3000000000000001E-3</v>
      </c>
      <c r="D155" s="7">
        <v>8.2000000000000007E-3</v>
      </c>
      <c r="I155" s="5">
        <f t="shared" si="12"/>
        <v>1.6500000000000001E-2</v>
      </c>
      <c r="J155" s="6">
        <f t="shared" si="13"/>
        <v>-3.4254274478487196E-2</v>
      </c>
      <c r="K155" s="7">
        <f t="shared" si="14"/>
        <v>-1.831947000738221E-2</v>
      </c>
    </row>
    <row r="156" spans="1:11" x14ac:dyDescent="0.25">
      <c r="A156">
        <v>19873</v>
      </c>
      <c r="B156" s="5">
        <v>1.72E-2</v>
      </c>
      <c r="C156" s="6">
        <v>5.9999999999999995E-4</v>
      </c>
      <c r="D156" s="7">
        <v>1.77E-2</v>
      </c>
      <c r="I156" s="5">
        <f t="shared" si="12"/>
        <v>1.72E-2</v>
      </c>
      <c r="J156" s="6">
        <f t="shared" si="13"/>
        <v>5.7466107003426997E-2</v>
      </c>
      <c r="K156" s="7">
        <f t="shared" si="14"/>
        <v>7.5654524043886173E-2</v>
      </c>
    </row>
    <row r="157" spans="1:11" x14ac:dyDescent="0.25">
      <c r="A157">
        <v>19872</v>
      </c>
      <c r="B157" s="5">
        <v>1.7999999999999999E-2</v>
      </c>
      <c r="C157" s="6">
        <v>-1.89E-2</v>
      </c>
      <c r="D157" s="7">
        <v>-8.9999999999999998E-4</v>
      </c>
      <c r="I157" s="5">
        <f t="shared" si="12"/>
        <v>1.7999999999999999E-2</v>
      </c>
      <c r="J157" s="6">
        <f t="shared" si="13"/>
        <v>-6.5559369848965751E-2</v>
      </c>
      <c r="K157" s="7">
        <f t="shared" si="14"/>
        <v>-4.8739438506247068E-2</v>
      </c>
    </row>
    <row r="158" spans="1:11" x14ac:dyDescent="0.25">
      <c r="A158">
        <v>19871</v>
      </c>
      <c r="B158" s="5">
        <v>1.7000000000000001E-2</v>
      </c>
      <c r="C158" s="6">
        <v>-2.8999999999999998E-3</v>
      </c>
      <c r="D158" s="7">
        <v>1.4200000000000001E-2</v>
      </c>
      <c r="I158" s="5">
        <f t="shared" si="12"/>
        <v>1.7000000000000001E-2</v>
      </c>
      <c r="J158" s="6">
        <f t="shared" si="13"/>
        <v>1.401402157025008E-2</v>
      </c>
      <c r="K158" s="7">
        <f t="shared" si="14"/>
        <v>3.1252259936944249E-2</v>
      </c>
    </row>
    <row r="159" spans="1:11" x14ac:dyDescent="0.25">
      <c r="A159">
        <v>19864</v>
      </c>
      <c r="B159" s="5">
        <v>1.6899999999999998E-2</v>
      </c>
      <c r="C159" s="6">
        <v>-8.6999999999999994E-3</v>
      </c>
      <c r="D159" s="7">
        <v>8.3000000000000001E-3</v>
      </c>
      <c r="I159" s="5">
        <f t="shared" si="12"/>
        <v>1.6899999999999998E-2</v>
      </c>
      <c r="J159" s="6">
        <f t="shared" si="13"/>
        <v>-1.6573768662012964E-2</v>
      </c>
      <c r="K159" s="7">
        <f t="shared" si="14"/>
        <v>4.6134647598838896E-5</v>
      </c>
    </row>
    <row r="160" spans="1:11" x14ac:dyDescent="0.25">
      <c r="A160">
        <v>19863</v>
      </c>
      <c r="B160" s="5">
        <v>1.6899999999999998E-2</v>
      </c>
      <c r="C160" s="6">
        <v>-6.0000000000000001E-3</v>
      </c>
      <c r="D160" s="7">
        <v>1.0999999999999999E-2</v>
      </c>
      <c r="I160" s="5">
        <f t="shared" si="12"/>
        <v>1.6899999999999998E-2</v>
      </c>
      <c r="J160" s="6">
        <f t="shared" si="13"/>
        <v>-1.4165389723569006E-2</v>
      </c>
      <c r="K160" s="7">
        <f t="shared" si="14"/>
        <v>2.4952151901025399E-3</v>
      </c>
    </row>
    <row r="161" spans="1:11" x14ac:dyDescent="0.25">
      <c r="A161">
        <v>19862</v>
      </c>
      <c r="B161" s="5">
        <v>1.77E-2</v>
      </c>
      <c r="C161" s="6">
        <v>-3.2000000000000002E-3</v>
      </c>
      <c r="D161" s="7">
        <v>1.4500000000000001E-2</v>
      </c>
      <c r="I161" s="5">
        <f t="shared" si="12"/>
        <v>1.77E-2</v>
      </c>
      <c r="J161" s="6">
        <f t="shared" si="13"/>
        <v>-2.6821305986038907E-2</v>
      </c>
      <c r="K161" s="7">
        <f t="shared" si="14"/>
        <v>-9.5960431019918024E-3</v>
      </c>
    </row>
    <row r="162" spans="1:11" x14ac:dyDescent="0.25">
      <c r="A162">
        <v>19861</v>
      </c>
      <c r="B162" s="5">
        <v>1.72E-2</v>
      </c>
      <c r="C162" s="6">
        <v>4.8999999999999998E-3</v>
      </c>
      <c r="D162" s="7">
        <v>2.2100000000000002E-2</v>
      </c>
      <c r="I162" s="5">
        <f t="shared" si="12"/>
        <v>1.72E-2</v>
      </c>
      <c r="J162" s="6">
        <f t="shared" si="13"/>
        <v>-2.3905265389009009E-3</v>
      </c>
      <c r="K162" s="7">
        <f t="shared" si="14"/>
        <v>1.4768356404630145E-2</v>
      </c>
    </row>
    <row r="163" spans="1:11" x14ac:dyDescent="0.25">
      <c r="A163">
        <v>19854</v>
      </c>
      <c r="B163" s="5">
        <v>1.7500000000000002E-2</v>
      </c>
      <c r="C163" s="6">
        <v>7.4000000000000003E-3</v>
      </c>
      <c r="D163" s="7">
        <v>2.5000000000000001E-2</v>
      </c>
      <c r="I163" s="5">
        <f t="shared" si="12"/>
        <v>1.7500000000000002E-2</v>
      </c>
      <c r="J163" s="6">
        <f t="shared" si="13"/>
        <v>1.2940800169564686E-2</v>
      </c>
      <c r="K163" s="7">
        <f t="shared" si="14"/>
        <v>3.0667264172532294E-2</v>
      </c>
    </row>
    <row r="164" spans="1:11" x14ac:dyDescent="0.25">
      <c r="A164">
        <v>19853</v>
      </c>
      <c r="B164" s="5">
        <v>1.84E-2</v>
      </c>
      <c r="C164" s="6">
        <v>5.4999999999999997E-3</v>
      </c>
      <c r="D164" s="7">
        <v>2.4E-2</v>
      </c>
      <c r="I164" s="5">
        <f t="shared" si="12"/>
        <v>1.84E-2</v>
      </c>
      <c r="J164" s="6">
        <f t="shared" si="13"/>
        <v>1.4540252908237114E-2</v>
      </c>
      <c r="K164" s="7">
        <f t="shared" si="14"/>
        <v>3.3207793561748522E-2</v>
      </c>
    </row>
    <row r="165" spans="1:11" x14ac:dyDescent="0.25">
      <c r="A165">
        <v>19852</v>
      </c>
      <c r="B165" s="5">
        <v>1.8700000000000001E-2</v>
      </c>
      <c r="C165" s="6">
        <v>2.3999999999999998E-3</v>
      </c>
      <c r="D165" s="7">
        <v>2.12E-2</v>
      </c>
      <c r="I165" s="5">
        <f t="shared" si="12"/>
        <v>1.8700000000000001E-2</v>
      </c>
      <c r="J165" s="6">
        <f t="shared" si="13"/>
        <v>8.8156633542327886E-3</v>
      </c>
      <c r="K165" s="7">
        <f t="shared" si="14"/>
        <v>2.7680516258957066E-2</v>
      </c>
    </row>
    <row r="166" spans="1:11" x14ac:dyDescent="0.25">
      <c r="A166">
        <v>19851</v>
      </c>
      <c r="B166" s="5">
        <v>1.72E-2</v>
      </c>
      <c r="C166" s="6">
        <v>2.0000000000000001E-4</v>
      </c>
      <c r="D166" s="7">
        <v>1.7399999999999999E-2</v>
      </c>
      <c r="I166" s="5">
        <f t="shared" si="12"/>
        <v>1.72E-2</v>
      </c>
      <c r="J166" s="6">
        <f t="shared" si="13"/>
        <v>-5.0833685772306285E-2</v>
      </c>
      <c r="K166" s="7">
        <f t="shared" si="14"/>
        <v>-3.4508025167589884E-2</v>
      </c>
    </row>
    <row r="167" spans="1:11" x14ac:dyDescent="0.25">
      <c r="A167">
        <v>19844</v>
      </c>
      <c r="B167" s="5">
        <v>1.72E-2</v>
      </c>
      <c r="C167" s="6">
        <v>1.77E-2</v>
      </c>
      <c r="D167" s="7">
        <v>3.49E-2</v>
      </c>
      <c r="I167" s="5">
        <f t="shared" ref="I167:I194" si="15">+B167</f>
        <v>1.72E-2</v>
      </c>
      <c r="J167" s="6">
        <f t="shared" ref="J167:J194" si="16">(C167-($C$2*C168))/(1-$C$2)</f>
        <v>5.8526948617845027E-2</v>
      </c>
      <c r="K167" s="7">
        <f t="shared" ref="K167:K194" si="17">(1+I167)*(1+J167)-1</f>
        <v>7.6733612134072038E-2</v>
      </c>
    </row>
    <row r="168" spans="1:11" x14ac:dyDescent="0.25">
      <c r="A168">
        <v>19843</v>
      </c>
      <c r="B168" s="5">
        <v>1.7299999999999999E-2</v>
      </c>
      <c r="C168" s="6">
        <v>3.7000000000000002E-3</v>
      </c>
      <c r="D168" s="7">
        <v>2.1000000000000001E-2</v>
      </c>
      <c r="I168" s="5">
        <f t="shared" si="15"/>
        <v>1.7299999999999999E-2</v>
      </c>
      <c r="J168" s="6">
        <f t="shared" si="16"/>
        <v>-3.6252085433176914E-2</v>
      </c>
      <c r="K168" s="7">
        <f t="shared" si="17"/>
        <v>-1.9579246511170822E-2</v>
      </c>
    </row>
    <row r="169" spans="1:11" x14ac:dyDescent="0.25">
      <c r="A169">
        <v>19842</v>
      </c>
      <c r="B169" s="5">
        <v>1.8200000000000001E-2</v>
      </c>
      <c r="C169" s="6">
        <v>1.7399999999999999E-2</v>
      </c>
      <c r="D169" s="7">
        <v>3.56E-2</v>
      </c>
      <c r="I169" s="5">
        <f t="shared" si="15"/>
        <v>1.8200000000000001E-2</v>
      </c>
      <c r="J169" s="6">
        <f t="shared" si="16"/>
        <v>3.8688337493590616E-2</v>
      </c>
      <c r="K169" s="7">
        <f t="shared" si="17"/>
        <v>5.7592465235974055E-2</v>
      </c>
    </row>
    <row r="170" spans="1:11" x14ac:dyDescent="0.25">
      <c r="A170">
        <v>19841</v>
      </c>
      <c r="B170" s="5">
        <v>1.72E-2</v>
      </c>
      <c r="C170" s="6">
        <v>1.01E-2</v>
      </c>
      <c r="D170" s="7">
        <v>2.7199999999999998E-2</v>
      </c>
      <c r="I170" s="5">
        <f t="shared" si="15"/>
        <v>1.72E-2</v>
      </c>
      <c r="J170" s="6">
        <f t="shared" si="16"/>
        <v>-6.5429854943013288E-2</v>
      </c>
      <c r="K170" s="7">
        <f t="shared" si="17"/>
        <v>-4.9355248448032962E-2</v>
      </c>
    </row>
    <row r="171" spans="1:11" x14ac:dyDescent="0.25">
      <c r="A171">
        <v>19834</v>
      </c>
      <c r="B171" s="5">
        <v>1.67E-2</v>
      </c>
      <c r="C171" s="6">
        <v>3.5999999999999997E-2</v>
      </c>
      <c r="D171" s="7">
        <v>5.2699999999999997E-2</v>
      </c>
      <c r="I171" s="5">
        <f t="shared" si="15"/>
        <v>1.67E-2</v>
      </c>
      <c r="J171" s="6">
        <f t="shared" si="16"/>
        <v>0.10569743371189257</v>
      </c>
      <c r="K171" s="7">
        <f t="shared" si="17"/>
        <v>0.12416258085488119</v>
      </c>
    </row>
    <row r="172" spans="1:11" x14ac:dyDescent="0.25">
      <c r="A172">
        <v>19833</v>
      </c>
      <c r="B172" s="5">
        <v>1.7899999999999999E-2</v>
      </c>
      <c r="C172" s="6">
        <v>1.21E-2</v>
      </c>
      <c r="D172" s="7">
        <v>0.03</v>
      </c>
      <c r="I172" s="5">
        <f t="shared" si="15"/>
        <v>1.7899999999999999E-2</v>
      </c>
      <c r="J172" s="6">
        <f t="shared" si="16"/>
        <v>3.1930232185810439E-2</v>
      </c>
      <c r="K172" s="7">
        <f t="shared" si="17"/>
        <v>5.0401783341936346E-2</v>
      </c>
    </row>
    <row r="173" spans="1:11" x14ac:dyDescent="0.25">
      <c r="A173">
        <v>19832</v>
      </c>
      <c r="B173" s="5">
        <v>1.89E-2</v>
      </c>
      <c r="C173" s="6">
        <v>5.3E-3</v>
      </c>
      <c r="D173" s="7">
        <v>2.4199999999999999E-2</v>
      </c>
      <c r="I173" s="5">
        <f t="shared" si="15"/>
        <v>1.89E-2</v>
      </c>
      <c r="J173" s="6">
        <f t="shared" si="16"/>
        <v>3.4753727217159629E-2</v>
      </c>
      <c r="K173" s="7">
        <f t="shared" si="17"/>
        <v>5.4310572661563805E-2</v>
      </c>
    </row>
    <row r="174" spans="1:11" x14ac:dyDescent="0.25">
      <c r="A174">
        <v>19831</v>
      </c>
      <c r="B174" s="5">
        <v>0.02</v>
      </c>
      <c r="C174" s="6">
        <v>-4.7999999999999996E-3</v>
      </c>
      <c r="D174" s="7">
        <v>1.5100000000000001E-2</v>
      </c>
      <c r="I174" s="5">
        <f t="shared" si="15"/>
        <v>0.02</v>
      </c>
      <c r="J174" s="6">
        <f t="shared" si="16"/>
        <v>-5.7875033203198534E-2</v>
      </c>
      <c r="K174" s="7">
        <f t="shared" si="17"/>
        <v>-3.9032533867262464E-2</v>
      </c>
    </row>
    <row r="175" spans="1:11" x14ac:dyDescent="0.25">
      <c r="A175">
        <v>19824</v>
      </c>
      <c r="B175" s="5">
        <v>1.8700000000000001E-2</v>
      </c>
      <c r="C175" s="6">
        <v>1.34E-2</v>
      </c>
      <c r="D175" s="7">
        <v>3.2099999999999997E-2</v>
      </c>
      <c r="I175" s="5">
        <f t="shared" si="15"/>
        <v>1.8700000000000001E-2</v>
      </c>
      <c r="J175" s="6">
        <f t="shared" si="16"/>
        <v>5.6559917110293317E-2</v>
      </c>
      <c r="K175" s="7">
        <f t="shared" si="17"/>
        <v>7.6317587560255751E-2</v>
      </c>
    </row>
    <row r="176" spans="1:11" x14ac:dyDescent="0.25">
      <c r="A176">
        <v>19823</v>
      </c>
      <c r="B176" s="5">
        <v>1.8100000000000002E-2</v>
      </c>
      <c r="C176" s="6">
        <v>-1.4E-3</v>
      </c>
      <c r="D176" s="7">
        <v>1.66E-2</v>
      </c>
      <c r="I176" s="5">
        <f t="shared" si="15"/>
        <v>1.8100000000000002E-2</v>
      </c>
      <c r="J176" s="6">
        <f t="shared" si="16"/>
        <v>-3.4413474308922511E-3</v>
      </c>
      <c r="K176" s="7">
        <f t="shared" si="17"/>
        <v>1.4596364180608612E-2</v>
      </c>
    </row>
    <row r="177" spans="1:11" x14ac:dyDescent="0.25">
      <c r="A177">
        <v>19822</v>
      </c>
      <c r="B177" s="5">
        <v>1.7899999999999999E-2</v>
      </c>
      <c r="C177" s="6">
        <v>-6.9999999999999999E-4</v>
      </c>
      <c r="D177" s="7">
        <v>1.72E-2</v>
      </c>
      <c r="I177" s="5">
        <f t="shared" si="15"/>
        <v>1.7899999999999999E-2</v>
      </c>
      <c r="J177" s="6">
        <f t="shared" si="16"/>
        <v>-3.5986148448280346E-2</v>
      </c>
      <c r="K177" s="7">
        <f t="shared" si="17"/>
        <v>-1.8730300505504505E-2</v>
      </c>
    </row>
    <row r="178" spans="1:11" x14ac:dyDescent="0.25">
      <c r="A178">
        <v>19821</v>
      </c>
      <c r="B178" s="5">
        <v>1.7500000000000002E-2</v>
      </c>
      <c r="C178" s="6">
        <v>1.14E-2</v>
      </c>
      <c r="D178" s="7">
        <v>2.9000000000000001E-2</v>
      </c>
      <c r="I178" s="5">
        <f t="shared" si="15"/>
        <v>1.7500000000000002E-2</v>
      </c>
      <c r="J178" s="6">
        <f t="shared" si="16"/>
        <v>-0.10845625629953076</v>
      </c>
      <c r="K178" s="7">
        <f t="shared" si="17"/>
        <v>-9.2854240784772557E-2</v>
      </c>
    </row>
    <row r="179" spans="1:11" x14ac:dyDescent="0.25">
      <c r="A179">
        <v>19814</v>
      </c>
      <c r="B179" s="5">
        <v>1.89E-2</v>
      </c>
      <c r="C179" s="6">
        <v>5.2499999999999998E-2</v>
      </c>
      <c r="D179" s="7">
        <v>7.1400000000000005E-2</v>
      </c>
      <c r="I179" s="5">
        <f t="shared" si="15"/>
        <v>1.89E-2</v>
      </c>
      <c r="J179" s="6">
        <f t="shared" si="16"/>
        <v>0.17643895116131525</v>
      </c>
      <c r="K179" s="7">
        <f t="shared" si="17"/>
        <v>0.19867364733826398</v>
      </c>
    </row>
    <row r="180" spans="1:11" x14ac:dyDescent="0.25">
      <c r="A180">
        <v>19813</v>
      </c>
      <c r="B180" s="5">
        <v>1.72E-2</v>
      </c>
      <c r="C180" s="6">
        <v>0.01</v>
      </c>
      <c r="D180" s="7">
        <v>2.7199999999999998E-2</v>
      </c>
      <c r="I180" s="5">
        <f t="shared" si="15"/>
        <v>1.72E-2</v>
      </c>
      <c r="J180" s="6">
        <f t="shared" si="16"/>
        <v>-6.3780128573677083E-2</v>
      </c>
      <c r="K180" s="7">
        <f t="shared" si="17"/>
        <v>-4.7677146785144231E-2</v>
      </c>
    </row>
    <row r="181" spans="1:11" x14ac:dyDescent="0.25">
      <c r="A181">
        <v>19812</v>
      </c>
      <c r="B181" s="5">
        <v>1.95E-2</v>
      </c>
      <c r="C181" s="6">
        <v>3.5299999999999998E-2</v>
      </c>
      <c r="D181" s="7">
        <v>5.4800000000000001E-2</v>
      </c>
      <c r="I181" s="5">
        <f t="shared" si="15"/>
        <v>1.95E-2</v>
      </c>
      <c r="J181" s="6">
        <f t="shared" si="16"/>
        <v>8.1667748787409705E-2</v>
      </c>
      <c r="K181" s="7">
        <f t="shared" si="17"/>
        <v>0.10276026988876441</v>
      </c>
    </row>
    <row r="182" spans="1:11" x14ac:dyDescent="0.25">
      <c r="A182">
        <v>19811</v>
      </c>
      <c r="B182" s="5">
        <v>1.6400000000000001E-2</v>
      </c>
      <c r="C182" s="6">
        <v>1.9400000000000001E-2</v>
      </c>
      <c r="D182" s="7">
        <v>3.5799999999999998E-2</v>
      </c>
      <c r="I182" s="5">
        <f t="shared" si="15"/>
        <v>1.6400000000000001E-2</v>
      </c>
      <c r="J182" s="6">
        <f t="shared" si="16"/>
        <v>-7.5960087128823725E-2</v>
      </c>
      <c r="K182" s="7">
        <f t="shared" si="17"/>
        <v>-6.0805832557736528E-2</v>
      </c>
    </row>
    <row r="183" spans="1:11" x14ac:dyDescent="0.25">
      <c r="A183">
        <v>19804</v>
      </c>
      <c r="B183" s="5">
        <v>1.5699999999999999E-2</v>
      </c>
      <c r="C183" s="6">
        <v>5.21E-2</v>
      </c>
      <c r="D183" s="7">
        <v>6.7900000000000002E-2</v>
      </c>
      <c r="I183" s="5">
        <f t="shared" si="15"/>
        <v>1.5699999999999999E-2</v>
      </c>
      <c r="J183" s="6">
        <f t="shared" si="16"/>
        <v>0.14891819243660392</v>
      </c>
      <c r="K183" s="7">
        <f t="shared" si="17"/>
        <v>0.1669562080578586</v>
      </c>
    </row>
    <row r="184" spans="1:11" x14ac:dyDescent="0.25">
      <c r="A184">
        <v>19803</v>
      </c>
      <c r="B184" s="5">
        <v>1.9599999999999999E-2</v>
      </c>
      <c r="C184" s="6">
        <v>1.89E-2</v>
      </c>
      <c r="D184" s="7">
        <v>3.85E-2</v>
      </c>
      <c r="I184" s="5">
        <f t="shared" si="15"/>
        <v>1.9599999999999999E-2</v>
      </c>
      <c r="J184" s="6">
        <f t="shared" si="16"/>
        <v>5.3019664202056199E-2</v>
      </c>
      <c r="K184" s="7">
        <f t="shared" si="17"/>
        <v>7.3658849620416467E-2</v>
      </c>
    </row>
    <row r="185" spans="1:11" x14ac:dyDescent="0.25">
      <c r="A185">
        <v>19802</v>
      </c>
      <c r="B185" s="5">
        <v>1.9300000000000001E-2</v>
      </c>
      <c r="C185" s="6">
        <v>7.1999999999999998E-3</v>
      </c>
      <c r="D185" s="7">
        <v>2.6499999999999999E-2</v>
      </c>
      <c r="I185" s="5">
        <f t="shared" si="15"/>
        <v>1.9300000000000001E-2</v>
      </c>
      <c r="J185" s="6">
        <f t="shared" si="16"/>
        <v>-0.22493036499860461</v>
      </c>
      <c r="K185" s="7">
        <f t="shared" si="17"/>
        <v>-0.20997152104307759</v>
      </c>
    </row>
    <row r="186" spans="1:11" x14ac:dyDescent="0.25">
      <c r="A186">
        <v>19801</v>
      </c>
      <c r="B186" s="5">
        <v>0.02</v>
      </c>
      <c r="C186" s="6">
        <v>8.6800000000000002E-2</v>
      </c>
      <c r="D186" s="7">
        <v>0.1067</v>
      </c>
      <c r="I186" s="5">
        <f t="shared" si="15"/>
        <v>0.02</v>
      </c>
      <c r="J186" s="6">
        <f t="shared" si="16"/>
        <v>0.21015570903820319</v>
      </c>
      <c r="K186" s="7">
        <f t="shared" si="17"/>
        <v>0.23435882321896728</v>
      </c>
    </row>
    <row r="187" spans="1:11" x14ac:dyDescent="0.25">
      <c r="A187">
        <v>19794</v>
      </c>
      <c r="B187" s="5">
        <v>2.2499999999999999E-2</v>
      </c>
      <c r="C187" s="6">
        <v>4.4499999999999998E-2</v>
      </c>
      <c r="D187" s="7">
        <v>6.7000000000000004E-2</v>
      </c>
      <c r="I187" s="5">
        <f t="shared" si="15"/>
        <v>2.2499999999999999E-2</v>
      </c>
      <c r="J187" s="6">
        <f t="shared" si="16"/>
        <v>0.15648248763751779</v>
      </c>
      <c r="K187" s="7">
        <f t="shared" si="17"/>
        <v>0.18250334360936171</v>
      </c>
    </row>
    <row r="188" spans="1:11" x14ac:dyDescent="0.25">
      <c r="A188">
        <v>19793</v>
      </c>
      <c r="B188" s="5">
        <v>1.6899999999999998E-2</v>
      </c>
      <c r="C188" s="6">
        <v>6.1000000000000004E-3</v>
      </c>
      <c r="D188" s="7">
        <v>2.3E-2</v>
      </c>
      <c r="I188" s="5">
        <f t="shared" si="15"/>
        <v>1.6899999999999998E-2</v>
      </c>
      <c r="J188" s="6">
        <f t="shared" si="16"/>
        <v>-6.3597433711892568E-2</v>
      </c>
      <c r="K188" s="7">
        <f t="shared" si="17"/>
        <v>-4.7772230341623589E-2</v>
      </c>
    </row>
    <row r="189" spans="1:11" x14ac:dyDescent="0.25">
      <c r="A189">
        <v>19792</v>
      </c>
      <c r="B189" s="5">
        <v>1.9900000000000001E-2</v>
      </c>
      <c r="C189" s="6">
        <v>0.03</v>
      </c>
      <c r="D189" s="7">
        <v>4.9799999999999997E-2</v>
      </c>
      <c r="I189" s="5">
        <f t="shared" si="15"/>
        <v>1.9900000000000001E-2</v>
      </c>
      <c r="J189" s="6">
        <f t="shared" si="16"/>
        <v>4.9538611124254395E-2</v>
      </c>
      <c r="K189" s="7">
        <f t="shared" si="17"/>
        <v>7.0424429485627105E-2</v>
      </c>
    </row>
    <row r="190" spans="1:11" x14ac:dyDescent="0.25">
      <c r="A190">
        <v>19791</v>
      </c>
      <c r="B190" s="5">
        <v>2.0299999999999999E-2</v>
      </c>
      <c r="C190" s="6">
        <v>2.3300000000000001E-2</v>
      </c>
      <c r="D190" s="7">
        <v>4.3700000000000003E-2</v>
      </c>
      <c r="I190" s="5">
        <f t="shared" si="15"/>
        <v>2.0299999999999999E-2</v>
      </c>
      <c r="J190" s="6">
        <f t="shared" si="16"/>
        <v>-0.18987499599746221</v>
      </c>
      <c r="K190" s="7">
        <f t="shared" si="17"/>
        <v>-0.1734294584162106</v>
      </c>
    </row>
    <row r="191" spans="1:11" x14ac:dyDescent="0.25">
      <c r="A191">
        <v>19784</v>
      </c>
      <c r="B191" s="5">
        <v>2.06E-2</v>
      </c>
      <c r="C191" s="6">
        <v>9.64E-2</v>
      </c>
      <c r="D191" s="7">
        <v>0.11700000000000001</v>
      </c>
      <c r="I191" s="5">
        <f t="shared" si="15"/>
        <v>2.06E-2</v>
      </c>
      <c r="J191" s="6">
        <f t="shared" si="16"/>
        <v>0.35594274478487198</v>
      </c>
      <c r="K191" s="7">
        <f t="shared" si="17"/>
        <v>0.38387516532744037</v>
      </c>
    </row>
    <row r="192" spans="1:11" x14ac:dyDescent="0.25">
      <c r="A192">
        <v>19783</v>
      </c>
      <c r="B192" s="5">
        <v>2.2700000000000001E-2</v>
      </c>
      <c r="C192" s="6">
        <v>7.4000000000000003E-3</v>
      </c>
      <c r="D192" s="7">
        <v>3.0200000000000001E-2</v>
      </c>
      <c r="I192" s="5">
        <f t="shared" si="15"/>
        <v>2.2700000000000001E-2</v>
      </c>
      <c r="J192" s="6">
        <f t="shared" si="16"/>
        <v>1.1482694861784503E-2</v>
      </c>
      <c r="K192" s="7">
        <f t="shared" si="17"/>
        <v>3.4443352035147035E-2</v>
      </c>
    </row>
    <row r="193" spans="1:11" x14ac:dyDescent="0.25">
      <c r="A193">
        <v>19782</v>
      </c>
      <c r="B193" s="5">
        <v>2.2499999999999999E-2</v>
      </c>
      <c r="C193" s="6">
        <v>6.0000000000000001E-3</v>
      </c>
      <c r="D193" s="7">
        <v>2.8500000000000001E-2</v>
      </c>
      <c r="I193" s="5">
        <f t="shared" si="15"/>
        <v>2.2499999999999999E-2</v>
      </c>
      <c r="J193" s="6">
        <f t="shared" si="16"/>
        <v>1.8248084585353506E-2</v>
      </c>
      <c r="K193" s="7">
        <f t="shared" si="17"/>
        <v>4.1158666488523954E-2</v>
      </c>
    </row>
    <row r="194" spans="1:11" x14ac:dyDescent="0.25">
      <c r="A194">
        <v>19781</v>
      </c>
      <c r="B194" s="8">
        <v>2.2599999999999999E-2</v>
      </c>
      <c r="C194" s="9">
        <v>1.8E-3</v>
      </c>
      <c r="D194" s="10">
        <v>2.4500000000000001E-2</v>
      </c>
      <c r="I194" s="8">
        <f t="shared" si="15"/>
        <v>2.2599999999999999E-2</v>
      </c>
      <c r="J194" s="9">
        <f t="shared" si="16"/>
        <v>7.0491791080086463E-3</v>
      </c>
      <c r="K194" s="10">
        <f t="shared" si="17"/>
        <v>2.9808490555849776E-2</v>
      </c>
    </row>
  </sheetData>
  <mergeCells count="8">
    <mergeCell ref="M3:N3"/>
    <mergeCell ref="M4:N4"/>
    <mergeCell ref="A1:B1"/>
    <mergeCell ref="A2:B2"/>
    <mergeCell ref="B5:D5"/>
    <mergeCell ref="F3:G3"/>
    <mergeCell ref="F4:G4"/>
    <mergeCell ref="I5:K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94"/>
  <sheetViews>
    <sheetView workbookViewId="0">
      <selection sqref="A1:B1"/>
    </sheetView>
  </sheetViews>
  <sheetFormatPr defaultRowHeight="15" x14ac:dyDescent="0.25"/>
  <cols>
    <col min="1" max="4" width="12.7109375" customWidth="1"/>
    <col min="5" max="5" width="4.7109375" customWidth="1"/>
    <col min="6" max="7" width="12.7109375" customWidth="1"/>
    <col min="8" max="8" width="4.7109375" customWidth="1"/>
    <col min="9" max="11" width="12.7109375" customWidth="1"/>
    <col min="12" max="12" width="4.7109375" customWidth="1"/>
    <col min="13" max="23" width="12.7109375" customWidth="1"/>
  </cols>
  <sheetData>
    <row r="1" spans="1:14" x14ac:dyDescent="0.25">
      <c r="A1" s="41" t="s">
        <v>17</v>
      </c>
      <c r="B1" s="40"/>
      <c r="C1" s="15" t="s">
        <v>7</v>
      </c>
    </row>
    <row r="2" spans="1:14" x14ac:dyDescent="0.25">
      <c r="A2" s="39" t="s">
        <v>18</v>
      </c>
      <c r="B2" s="40"/>
      <c r="C2" s="18">
        <f>CORREL(C7:C86,C9:C88)</f>
        <v>0.66379439382738392</v>
      </c>
    </row>
    <row r="3" spans="1:14" x14ac:dyDescent="0.25">
      <c r="F3" s="36" t="s">
        <v>1</v>
      </c>
      <c r="G3" s="35"/>
      <c r="M3" s="36" t="s">
        <v>19</v>
      </c>
      <c r="N3" s="35"/>
    </row>
    <row r="4" spans="1:14" x14ac:dyDescent="0.25">
      <c r="F4" s="37">
        <f t="array" ref="F4">+(STDEV(D7:D86+1)*SQRT(4))</f>
        <v>4.4648459511038678E-2</v>
      </c>
      <c r="G4" s="38"/>
      <c r="M4" s="42">
        <f t="array" ref="M4">+(STDEV(K7:K86+1)*SQRT(4))</f>
        <v>8.2179632496135718E-2</v>
      </c>
      <c r="N4" s="38"/>
    </row>
    <row r="5" spans="1:14" x14ac:dyDescent="0.25">
      <c r="B5" s="33" t="s">
        <v>20</v>
      </c>
      <c r="C5" s="34"/>
      <c r="D5" s="35"/>
      <c r="I5" s="33" t="s">
        <v>21</v>
      </c>
      <c r="J5" s="34"/>
      <c r="K5" s="35"/>
    </row>
    <row r="6" spans="1:14" x14ac:dyDescent="0.25">
      <c r="B6" s="2" t="s">
        <v>22</v>
      </c>
      <c r="C6" s="3" t="s">
        <v>23</v>
      </c>
      <c r="D6" s="4" t="s">
        <v>24</v>
      </c>
      <c r="I6" s="12" t="s">
        <v>22</v>
      </c>
      <c r="J6" s="13" t="s">
        <v>23</v>
      </c>
      <c r="K6" s="14" t="s">
        <v>24</v>
      </c>
    </row>
    <row r="7" spans="1:14" x14ac:dyDescent="0.25">
      <c r="A7">
        <v>20244</v>
      </c>
      <c r="B7" s="5">
        <v>1.3899999999999999E-2</v>
      </c>
      <c r="C7" s="6">
        <v>4.7000000000000002E-3</v>
      </c>
      <c r="D7" s="7">
        <v>1.8599999999999998E-2</v>
      </c>
      <c r="I7" s="5">
        <f t="shared" ref="I7:I38" si="0">+B7</f>
        <v>1.3899999999999999E-2</v>
      </c>
      <c r="J7" s="6">
        <f t="shared" ref="J7:J38" si="1">(C7-($C$2*C8))/(1-$C$2)</f>
        <v>4.5025629609856746E-3</v>
      </c>
      <c r="K7" s="7">
        <f t="shared" ref="K7:K38" si="2">(1+I7)*(1+J7)-1</f>
        <v>1.8465148586143343E-2</v>
      </c>
    </row>
    <row r="8" spans="1:14" x14ac:dyDescent="0.25">
      <c r="A8">
        <v>20243</v>
      </c>
      <c r="B8" s="5">
        <v>1.37E-2</v>
      </c>
      <c r="C8" s="6">
        <v>4.7999999999999996E-3</v>
      </c>
      <c r="D8" s="7">
        <v>1.8499999999999999E-2</v>
      </c>
      <c r="I8" s="5">
        <f t="shared" si="0"/>
        <v>1.37E-2</v>
      </c>
      <c r="J8" s="6">
        <f t="shared" si="1"/>
        <v>2.2766770550303791E-2</v>
      </c>
      <c r="K8" s="7">
        <f t="shared" si="2"/>
        <v>3.6778675306843089E-2</v>
      </c>
    </row>
    <row r="9" spans="1:14" x14ac:dyDescent="0.25">
      <c r="A9">
        <v>20242</v>
      </c>
      <c r="B9" s="5">
        <v>1.3299999999999999E-2</v>
      </c>
      <c r="C9" s="6">
        <v>-4.3E-3</v>
      </c>
      <c r="D9" s="7">
        <v>8.9999999999999993E-3</v>
      </c>
      <c r="I9" s="5">
        <f t="shared" si="0"/>
        <v>1.3299999999999999E-2</v>
      </c>
      <c r="J9" s="6">
        <f t="shared" si="1"/>
        <v>2.0179852484584751E-3</v>
      </c>
      <c r="K9" s="7">
        <f t="shared" si="2"/>
        <v>1.5344824452263151E-2</v>
      </c>
    </row>
    <row r="10" spans="1:14" x14ac:dyDescent="0.25">
      <c r="A10">
        <v>20241</v>
      </c>
      <c r="B10" s="5">
        <v>1.38E-2</v>
      </c>
      <c r="C10" s="6">
        <v>-7.4999999999999997E-3</v>
      </c>
      <c r="D10" s="7">
        <v>6.1999999999999998E-3</v>
      </c>
      <c r="I10" s="5">
        <f t="shared" si="0"/>
        <v>1.38E-2</v>
      </c>
      <c r="J10" s="6">
        <f t="shared" si="1"/>
        <v>2.7248918866521619E-2</v>
      </c>
      <c r="K10" s="7">
        <f t="shared" si="2"/>
        <v>4.1424953946879839E-2</v>
      </c>
    </row>
    <row r="11" spans="1:14" x14ac:dyDescent="0.25">
      <c r="A11">
        <v>20234</v>
      </c>
      <c r="B11" s="5">
        <v>1.3299999999999999E-2</v>
      </c>
      <c r="C11" s="6">
        <v>-2.5100000000000001E-2</v>
      </c>
      <c r="D11" s="7">
        <v>-1.18E-2</v>
      </c>
      <c r="I11" s="5">
        <f t="shared" si="0"/>
        <v>1.3299999999999999E-2</v>
      </c>
      <c r="J11" s="6">
        <f t="shared" si="1"/>
        <v>-4.7212948369604664E-2</v>
      </c>
      <c r="K11" s="7">
        <f t="shared" si="2"/>
        <v>-3.4540880582920264E-2</v>
      </c>
    </row>
    <row r="12" spans="1:14" x14ac:dyDescent="0.25">
      <c r="A12">
        <v>20233</v>
      </c>
      <c r="B12" s="5">
        <v>1.2800000000000001E-2</v>
      </c>
      <c r="C12" s="6">
        <v>-1.3899999999999999E-2</v>
      </c>
      <c r="D12" s="7">
        <v>-1.1000000000000001E-3</v>
      </c>
      <c r="I12" s="5">
        <f t="shared" si="0"/>
        <v>1.2800000000000001E-2</v>
      </c>
      <c r="J12" s="6">
        <f t="shared" si="1"/>
        <v>-1.3110251843942685E-2</v>
      </c>
      <c r="K12" s="7">
        <f t="shared" si="2"/>
        <v>-4.780630675451647E-4</v>
      </c>
    </row>
    <row r="13" spans="1:14" x14ac:dyDescent="0.25">
      <c r="A13">
        <v>20232</v>
      </c>
      <c r="B13" s="5">
        <v>1.2699999999999999E-2</v>
      </c>
      <c r="C13" s="6">
        <v>-1.43E-2</v>
      </c>
      <c r="D13" s="7">
        <v>-1.6000000000000001E-3</v>
      </c>
      <c r="I13" s="5">
        <f t="shared" si="0"/>
        <v>1.2699999999999999E-2</v>
      </c>
      <c r="J13" s="6">
        <f t="shared" si="1"/>
        <v>-2.713340753593128E-2</v>
      </c>
      <c r="K13" s="7">
        <f t="shared" si="2"/>
        <v>-1.4778001811637687E-2</v>
      </c>
    </row>
    <row r="14" spans="1:14" x14ac:dyDescent="0.25">
      <c r="A14">
        <v>20231</v>
      </c>
      <c r="B14" s="5">
        <v>1.29E-2</v>
      </c>
      <c r="C14" s="6">
        <v>-7.7999999999999996E-3</v>
      </c>
      <c r="D14" s="7">
        <v>5.1999999999999998E-3</v>
      </c>
      <c r="I14" s="5">
        <f t="shared" si="0"/>
        <v>1.29E-2</v>
      </c>
      <c r="J14" s="6">
        <f t="shared" si="1"/>
        <v>3.2279718919908461E-2</v>
      </c>
      <c r="K14" s="7">
        <f t="shared" si="2"/>
        <v>4.5596127293975108E-2</v>
      </c>
    </row>
    <row r="15" spans="1:14" x14ac:dyDescent="0.25">
      <c r="A15">
        <v>20224</v>
      </c>
      <c r="B15" s="5">
        <v>1.2500000000000001E-2</v>
      </c>
      <c r="C15" s="6">
        <v>-2.81E-2</v>
      </c>
      <c r="D15" s="7">
        <v>-1.5599999999999999E-2</v>
      </c>
      <c r="I15" s="5">
        <f t="shared" si="0"/>
        <v>1.2500000000000001E-2</v>
      </c>
      <c r="J15" s="6">
        <f t="shared" si="1"/>
        <v>-6.7982281880894141E-2</v>
      </c>
      <c r="K15" s="7">
        <f t="shared" si="2"/>
        <v>-5.6332060404405415E-2</v>
      </c>
    </row>
    <row r="16" spans="1:14" x14ac:dyDescent="0.25">
      <c r="A16">
        <v>20223</v>
      </c>
      <c r="B16" s="5">
        <v>1.1900000000000001E-2</v>
      </c>
      <c r="C16" s="6">
        <v>-7.9000000000000008E-3</v>
      </c>
      <c r="D16" s="7">
        <v>4.0000000000000001E-3</v>
      </c>
      <c r="I16" s="5">
        <f t="shared" si="0"/>
        <v>1.1900000000000001E-2</v>
      </c>
      <c r="J16" s="6">
        <f t="shared" si="1"/>
        <v>-3.1987318759747946E-2</v>
      </c>
      <c r="K16" s="7">
        <f t="shared" si="2"/>
        <v>-2.0467967852988878E-2</v>
      </c>
    </row>
    <row r="17" spans="1:11" x14ac:dyDescent="0.25">
      <c r="A17">
        <v>20222</v>
      </c>
      <c r="B17" s="5">
        <v>1.2500000000000001E-2</v>
      </c>
      <c r="C17" s="6">
        <v>4.3E-3</v>
      </c>
      <c r="D17" s="7">
        <v>1.6799999999999999E-2</v>
      </c>
      <c r="I17" s="5">
        <f t="shared" si="0"/>
        <v>1.2500000000000001E-2</v>
      </c>
      <c r="J17" s="6">
        <f t="shared" si="1"/>
        <v>-3.5974815605730971E-3</v>
      </c>
      <c r="K17" s="7">
        <f t="shared" si="2"/>
        <v>8.8575499199197161E-3</v>
      </c>
    </row>
    <row r="18" spans="1:11" x14ac:dyDescent="0.25">
      <c r="A18">
        <v>20221</v>
      </c>
      <c r="B18" s="5">
        <v>1.2200000000000001E-2</v>
      </c>
      <c r="C18" s="6">
        <v>8.3000000000000001E-3</v>
      </c>
      <c r="D18" s="7">
        <v>2.0500000000000001E-2</v>
      </c>
      <c r="I18" s="5">
        <f t="shared" si="0"/>
        <v>1.2200000000000001E-2</v>
      </c>
      <c r="J18" s="6">
        <f t="shared" si="1"/>
        <v>6.3256296098567286E-3</v>
      </c>
      <c r="K18" s="7">
        <f t="shared" si="2"/>
        <v>1.860280229109712E-2</v>
      </c>
    </row>
    <row r="19" spans="1:11" x14ac:dyDescent="0.25">
      <c r="A19">
        <v>20214</v>
      </c>
      <c r="B19" s="5">
        <v>1.24E-2</v>
      </c>
      <c r="C19" s="6">
        <v>9.2999999999999992E-3</v>
      </c>
      <c r="D19" s="7">
        <v>2.1700000000000001E-2</v>
      </c>
      <c r="I19" s="5">
        <f t="shared" si="0"/>
        <v>1.24E-2</v>
      </c>
      <c r="J19" s="6">
        <f t="shared" si="1"/>
        <v>2.0751348262830985E-2</v>
      </c>
      <c r="K19" s="7">
        <f t="shared" si="2"/>
        <v>3.3408664981290137E-2</v>
      </c>
    </row>
    <row r="20" spans="1:11" x14ac:dyDescent="0.25">
      <c r="A20">
        <v>20213</v>
      </c>
      <c r="B20" s="5">
        <v>1.1900000000000001E-2</v>
      </c>
      <c r="C20" s="6">
        <v>3.5000000000000001E-3</v>
      </c>
      <c r="D20" s="7">
        <v>1.54E-2</v>
      </c>
      <c r="I20" s="5">
        <f t="shared" si="0"/>
        <v>1.1900000000000001E-2</v>
      </c>
      <c r="J20" s="6">
        <f t="shared" si="1"/>
        <v>1.5741096418888299E-2</v>
      </c>
      <c r="K20" s="7">
        <f t="shared" si="2"/>
        <v>2.7828415466272904E-2</v>
      </c>
    </row>
    <row r="21" spans="1:11" x14ac:dyDescent="0.25">
      <c r="A21">
        <v>20212</v>
      </c>
      <c r="B21" s="5">
        <v>1.14E-2</v>
      </c>
      <c r="C21" s="6">
        <v>-2.7000000000000001E-3</v>
      </c>
      <c r="D21" s="7">
        <v>8.6999999999999994E-3</v>
      </c>
      <c r="I21" s="5">
        <f t="shared" si="0"/>
        <v>1.14E-2</v>
      </c>
      <c r="J21" s="6">
        <f t="shared" si="1"/>
        <v>2.17821928377766E-2</v>
      </c>
      <c r="K21" s="7">
        <f t="shared" si="2"/>
        <v>3.3430509836127387E-2</v>
      </c>
    </row>
    <row r="22" spans="1:11" x14ac:dyDescent="0.25">
      <c r="A22">
        <v>20211</v>
      </c>
      <c r="B22" s="5">
        <v>1.06E-2</v>
      </c>
      <c r="C22" s="6">
        <v>-1.5100000000000001E-2</v>
      </c>
      <c r="D22" s="7">
        <v>-4.4999999999999997E-3</v>
      </c>
      <c r="I22" s="5">
        <f t="shared" si="0"/>
        <v>1.06E-2</v>
      </c>
      <c r="J22" s="6">
        <f t="shared" si="1"/>
        <v>-2.9222207392545069E-4</v>
      </c>
      <c r="K22" s="7">
        <f t="shared" si="2"/>
        <v>1.030468037209098E-2</v>
      </c>
    </row>
    <row r="23" spans="1:11" x14ac:dyDescent="0.25">
      <c r="A23">
        <v>20204</v>
      </c>
      <c r="B23" s="5">
        <v>1.0200000000000001E-2</v>
      </c>
      <c r="C23" s="6">
        <v>-2.2599999999999999E-2</v>
      </c>
      <c r="D23" s="7">
        <v>-1.24E-2</v>
      </c>
      <c r="I23" s="5">
        <f t="shared" si="0"/>
        <v>1.0200000000000001E-2</v>
      </c>
      <c r="J23" s="6">
        <f t="shared" si="1"/>
        <v>-3.7802652004103203E-2</v>
      </c>
      <c r="K23" s="7">
        <f t="shared" si="2"/>
        <v>-2.7988239054545061E-2</v>
      </c>
    </row>
    <row r="24" spans="1:11" x14ac:dyDescent="0.25">
      <c r="A24">
        <v>20203</v>
      </c>
      <c r="B24" s="5">
        <v>9.7000000000000003E-3</v>
      </c>
      <c r="C24" s="6">
        <v>-1.49E-2</v>
      </c>
      <c r="D24" s="7">
        <v>-5.1999999999999998E-3</v>
      </c>
      <c r="I24" s="5">
        <f t="shared" si="0"/>
        <v>9.7000000000000003E-3</v>
      </c>
      <c r="J24" s="6">
        <f t="shared" si="1"/>
        <v>4.8082415445570445E-2</v>
      </c>
      <c r="K24" s="7">
        <f t="shared" si="2"/>
        <v>5.8248814875392352E-2</v>
      </c>
    </row>
    <row r="25" spans="1:11" x14ac:dyDescent="0.25">
      <c r="A25">
        <v>20202</v>
      </c>
      <c r="B25" s="5">
        <v>8.2000000000000007E-3</v>
      </c>
      <c r="C25" s="6">
        <v>-4.6800000000000001E-2</v>
      </c>
      <c r="D25" s="7">
        <v>-3.85E-2</v>
      </c>
      <c r="I25" s="5">
        <f t="shared" si="0"/>
        <v>8.2000000000000007E-3</v>
      </c>
      <c r="J25" s="6">
        <f t="shared" si="1"/>
        <v>-7.5625807696091799E-2</v>
      </c>
      <c r="K25" s="7">
        <f t="shared" si="2"/>
        <v>-6.8045939319199777E-2</v>
      </c>
    </row>
    <row r="26" spans="1:11" x14ac:dyDescent="0.25">
      <c r="A26">
        <v>20201</v>
      </c>
      <c r="B26" s="5">
        <v>1.1599999999999999E-2</v>
      </c>
      <c r="C26" s="6">
        <v>-3.2199999999999999E-2</v>
      </c>
      <c r="D26" s="7">
        <v>-2.06E-2</v>
      </c>
      <c r="I26" s="5">
        <f t="shared" si="0"/>
        <v>1.1599999999999999E-2</v>
      </c>
      <c r="J26" s="6">
        <f t="shared" si="1"/>
        <v>-7.3464341153994431E-2</v>
      </c>
      <c r="K26" s="7">
        <f t="shared" si="2"/>
        <v>-6.2716527511380793E-2</v>
      </c>
    </row>
    <row r="27" spans="1:11" x14ac:dyDescent="0.25">
      <c r="A27">
        <v>20194</v>
      </c>
      <c r="B27" s="5">
        <v>1.1900000000000001E-2</v>
      </c>
      <c r="C27" s="6">
        <v>-1.1299999999999999E-2</v>
      </c>
      <c r="D27" s="7">
        <v>5.0000000000000001E-4</v>
      </c>
      <c r="I27" s="5">
        <f t="shared" si="0"/>
        <v>1.1900000000000001E-2</v>
      </c>
      <c r="J27" s="6">
        <f t="shared" si="1"/>
        <v>-1.4656429663243566E-2</v>
      </c>
      <c r="K27" s="7">
        <f t="shared" si="2"/>
        <v>-2.9308411762360986E-3</v>
      </c>
    </row>
    <row r="28" spans="1:11" x14ac:dyDescent="0.25">
      <c r="A28">
        <v>20193</v>
      </c>
      <c r="B28" s="5">
        <v>1.18E-2</v>
      </c>
      <c r="C28" s="6">
        <v>-9.5999999999999992E-3</v>
      </c>
      <c r="D28" s="7">
        <v>2.2000000000000001E-3</v>
      </c>
      <c r="I28" s="5">
        <f t="shared" si="0"/>
        <v>1.18E-2</v>
      </c>
      <c r="J28" s="6">
        <f t="shared" si="1"/>
        <v>-3.676888829570174E-3</v>
      </c>
      <c r="K28" s="7">
        <f t="shared" si="2"/>
        <v>8.0797238822409856E-3</v>
      </c>
    </row>
    <row r="29" spans="1:11" x14ac:dyDescent="0.25">
      <c r="A29">
        <v>20192</v>
      </c>
      <c r="B29" s="5">
        <v>1.14E-2</v>
      </c>
      <c r="C29" s="6">
        <v>-1.26E-2</v>
      </c>
      <c r="D29" s="7">
        <v>-1.1999999999999999E-3</v>
      </c>
      <c r="I29" s="5">
        <f t="shared" si="0"/>
        <v>1.14E-2</v>
      </c>
      <c r="J29" s="6">
        <f t="shared" si="1"/>
        <v>-4.8928415178636241E-2</v>
      </c>
      <c r="K29" s="7">
        <f t="shared" si="2"/>
        <v>-3.8086199111672547E-2</v>
      </c>
    </row>
    <row r="30" spans="1:11" x14ac:dyDescent="0.25">
      <c r="A30">
        <v>20191</v>
      </c>
      <c r="B30" s="5">
        <v>1.1599999999999999E-2</v>
      </c>
      <c r="C30" s="6">
        <v>5.7999999999999996E-3</v>
      </c>
      <c r="D30" s="7">
        <v>1.7299999999999999E-2</v>
      </c>
      <c r="I30" s="5">
        <f t="shared" si="0"/>
        <v>1.1599999999999999E-2</v>
      </c>
      <c r="J30" s="6">
        <f t="shared" si="1"/>
        <v>4.8446400427094721E-2</v>
      </c>
      <c r="K30" s="7">
        <f t="shared" si="2"/>
        <v>6.0608378672049268E-2</v>
      </c>
    </row>
    <row r="31" spans="1:11" x14ac:dyDescent="0.25">
      <c r="A31">
        <v>20184</v>
      </c>
      <c r="B31" s="5">
        <v>1.1599999999999999E-2</v>
      </c>
      <c r="C31" s="6">
        <v>-1.5800000000000002E-2</v>
      </c>
      <c r="D31" s="7">
        <v>-4.1999999999999997E-3</v>
      </c>
      <c r="I31" s="5">
        <f t="shared" si="0"/>
        <v>1.1599999999999999E-2</v>
      </c>
      <c r="J31" s="6">
        <f t="shared" si="1"/>
        <v>-3.5741140940447072E-2</v>
      </c>
      <c r="K31" s="7">
        <f t="shared" si="2"/>
        <v>-2.4555738175356279E-2</v>
      </c>
    </row>
    <row r="32" spans="1:11" x14ac:dyDescent="0.25">
      <c r="A32">
        <v>20183</v>
      </c>
      <c r="B32" s="5">
        <v>1.1299999999999999E-2</v>
      </c>
      <c r="C32" s="6">
        <v>-5.7000000000000002E-3</v>
      </c>
      <c r="D32" s="7">
        <v>5.5999999999999999E-3</v>
      </c>
      <c r="I32" s="5">
        <f t="shared" si="0"/>
        <v>1.1299999999999999E-2</v>
      </c>
      <c r="J32" s="6">
        <f t="shared" si="1"/>
        <v>-2.031034088706023E-2</v>
      </c>
      <c r="K32" s="7">
        <f t="shared" si="2"/>
        <v>-9.2398477390839284E-3</v>
      </c>
    </row>
    <row r="33" spans="1:11" x14ac:dyDescent="0.25">
      <c r="A33">
        <v>20182</v>
      </c>
      <c r="B33" s="5">
        <v>1.15E-2</v>
      </c>
      <c r="C33" s="6">
        <v>1.6999999999999999E-3</v>
      </c>
      <c r="D33" s="7">
        <v>1.32E-2</v>
      </c>
      <c r="I33" s="5">
        <f t="shared" si="0"/>
        <v>1.15E-2</v>
      </c>
      <c r="J33" s="6">
        <f t="shared" si="1"/>
        <v>1.3348785301845316E-2</v>
      </c>
      <c r="K33" s="7">
        <f t="shared" si="2"/>
        <v>2.5002296332816476E-2</v>
      </c>
    </row>
    <row r="34" spans="1:11" x14ac:dyDescent="0.25">
      <c r="A34">
        <v>20181</v>
      </c>
      <c r="B34" s="5">
        <v>1.14E-2</v>
      </c>
      <c r="C34" s="6">
        <v>-4.1999999999999997E-3</v>
      </c>
      <c r="D34" s="7">
        <v>7.1999999999999998E-3</v>
      </c>
      <c r="I34" s="5">
        <f t="shared" si="0"/>
        <v>1.14E-2</v>
      </c>
      <c r="J34" s="6">
        <f t="shared" si="1"/>
        <v>-1.5059037145788007E-2</v>
      </c>
      <c r="K34" s="7">
        <f t="shared" si="2"/>
        <v>-3.8307101692499623E-3</v>
      </c>
    </row>
    <row r="35" spans="1:11" x14ac:dyDescent="0.25">
      <c r="A35">
        <v>20174</v>
      </c>
      <c r="B35" s="5">
        <v>1.14E-2</v>
      </c>
      <c r="C35" s="6">
        <v>1.2999999999999999E-3</v>
      </c>
      <c r="D35" s="7">
        <v>1.2699999999999999E-2</v>
      </c>
      <c r="I35" s="5">
        <f t="shared" si="0"/>
        <v>1.14E-2</v>
      </c>
      <c r="J35" s="6">
        <f t="shared" si="1"/>
        <v>2.4846222340859639E-3</v>
      </c>
      <c r="K35" s="7">
        <f t="shared" si="2"/>
        <v>1.3912946927554515E-2</v>
      </c>
    </row>
    <row r="36" spans="1:11" x14ac:dyDescent="0.25">
      <c r="A36">
        <v>20173</v>
      </c>
      <c r="B36" s="5">
        <v>1.14E-2</v>
      </c>
      <c r="C36" s="6">
        <v>6.9999999999999999E-4</v>
      </c>
      <c r="D36" s="7">
        <v>1.21E-2</v>
      </c>
      <c r="I36" s="5">
        <f t="shared" si="0"/>
        <v>1.14E-2</v>
      </c>
      <c r="J36" s="6">
        <f t="shared" si="1"/>
        <v>-5.2231111704298221E-3</v>
      </c>
      <c r="K36" s="7">
        <f t="shared" si="2"/>
        <v>6.117345362227411E-3</v>
      </c>
    </row>
    <row r="37" spans="1:11" x14ac:dyDescent="0.25">
      <c r="A37">
        <v>20172</v>
      </c>
      <c r="B37" s="5">
        <v>1.15E-2</v>
      </c>
      <c r="C37" s="6">
        <v>3.7000000000000002E-3</v>
      </c>
      <c r="D37" s="7">
        <v>1.52E-2</v>
      </c>
      <c r="I37" s="5">
        <f t="shared" si="0"/>
        <v>1.15E-2</v>
      </c>
      <c r="J37" s="6">
        <f t="shared" si="1"/>
        <v>3.5025629609856733E-3</v>
      </c>
      <c r="K37" s="7">
        <f t="shared" si="2"/>
        <v>1.5042842435037063E-2</v>
      </c>
    </row>
    <row r="38" spans="1:11" x14ac:dyDescent="0.25">
      <c r="A38">
        <v>20171</v>
      </c>
      <c r="B38" s="5">
        <v>1.1900000000000001E-2</v>
      </c>
      <c r="C38" s="6">
        <v>3.8E-3</v>
      </c>
      <c r="D38" s="7">
        <v>1.5599999999999999E-2</v>
      </c>
      <c r="I38" s="5">
        <f t="shared" si="0"/>
        <v>1.1900000000000001E-2</v>
      </c>
      <c r="J38" s="6">
        <f t="shared" si="1"/>
        <v>2.0230666488710528E-3</v>
      </c>
      <c r="K38" s="7">
        <f t="shared" si="2"/>
        <v>1.394714114199247E-2</v>
      </c>
    </row>
    <row r="39" spans="1:11" x14ac:dyDescent="0.25">
      <c r="A39">
        <v>20164</v>
      </c>
      <c r="B39" s="5">
        <v>1.18E-2</v>
      </c>
      <c r="C39" s="6">
        <v>4.7000000000000002E-3</v>
      </c>
      <c r="D39" s="7">
        <v>1.6500000000000001E-2</v>
      </c>
      <c r="I39" s="5">
        <f t="shared" ref="I39:I70" si="3">+B39</f>
        <v>1.18E-2</v>
      </c>
      <c r="J39" s="6">
        <f t="shared" ref="J39:J70" si="4">(C39-($C$2*C40))/(1-$C$2)</f>
        <v>-1.2231111704298211E-3</v>
      </c>
      <c r="K39" s="7">
        <f t="shared" ref="K39:K70" si="5">(1+I39)*(1+J39)-1</f>
        <v>1.0562456117759078E-2</v>
      </c>
    </row>
    <row r="40" spans="1:11" x14ac:dyDescent="0.25">
      <c r="A40">
        <v>20163</v>
      </c>
      <c r="B40" s="5">
        <v>1.1900000000000001E-2</v>
      </c>
      <c r="C40" s="6">
        <v>7.7000000000000002E-3</v>
      </c>
      <c r="D40" s="7">
        <v>1.9599999999999999E-2</v>
      </c>
      <c r="I40" s="5">
        <f t="shared" si="3"/>
        <v>1.1900000000000001E-2</v>
      </c>
      <c r="J40" s="6">
        <f t="shared" si="4"/>
        <v>3.553822180699127E-3</v>
      </c>
      <c r="K40" s="7">
        <f t="shared" si="5"/>
        <v>1.5496112664649564E-2</v>
      </c>
    </row>
    <row r="41" spans="1:11" x14ac:dyDescent="0.25">
      <c r="A41">
        <v>20162</v>
      </c>
      <c r="B41" s="5">
        <v>1.1900000000000001E-2</v>
      </c>
      <c r="C41" s="6">
        <v>9.7999999999999997E-3</v>
      </c>
      <c r="D41" s="7">
        <v>2.18E-2</v>
      </c>
      <c r="I41" s="5">
        <f t="shared" si="3"/>
        <v>1.1900000000000001E-2</v>
      </c>
      <c r="J41" s="6">
        <f t="shared" si="4"/>
        <v>-5.2052149650888809E-3</v>
      </c>
      <c r="K41" s="7">
        <f t="shared" si="5"/>
        <v>6.6328429768265362E-3</v>
      </c>
    </row>
    <row r="42" spans="1:11" x14ac:dyDescent="0.25">
      <c r="A42">
        <v>20161</v>
      </c>
      <c r="B42" s="5">
        <v>1.21E-2</v>
      </c>
      <c r="C42" s="6">
        <v>1.7399999999999999E-2</v>
      </c>
      <c r="D42" s="7">
        <v>2.9399999999999999E-2</v>
      </c>
      <c r="I42" s="5">
        <f t="shared" si="3"/>
        <v>1.21E-2</v>
      </c>
      <c r="J42" s="6">
        <f t="shared" si="4"/>
        <v>8.3178962053409387E-3</v>
      </c>
      <c r="K42" s="7">
        <f t="shared" si="5"/>
        <v>2.0518542749425661E-2</v>
      </c>
    </row>
    <row r="43" spans="1:11" x14ac:dyDescent="0.25">
      <c r="A43">
        <v>20154</v>
      </c>
      <c r="B43" s="5">
        <v>1.2500000000000001E-2</v>
      </c>
      <c r="C43" s="6">
        <v>2.1999999999999999E-2</v>
      </c>
      <c r="D43" s="7">
        <v>3.4500000000000003E-2</v>
      </c>
      <c r="I43" s="5">
        <f t="shared" si="3"/>
        <v>1.2500000000000001E-2</v>
      </c>
      <c r="J43" s="6">
        <f t="shared" si="4"/>
        <v>2.8910296365501454E-2</v>
      </c>
      <c r="K43" s="7">
        <f t="shared" si="5"/>
        <v>4.1771675070070291E-2</v>
      </c>
    </row>
    <row r="44" spans="1:11" x14ac:dyDescent="0.25">
      <c r="A44">
        <v>20153</v>
      </c>
      <c r="B44" s="5">
        <v>1.26E-2</v>
      </c>
      <c r="C44" s="6">
        <v>1.8499999999999999E-2</v>
      </c>
      <c r="D44" s="7">
        <v>3.1099999999999999E-2</v>
      </c>
      <c r="I44" s="5">
        <f t="shared" si="3"/>
        <v>1.26E-2</v>
      </c>
      <c r="J44" s="6">
        <f t="shared" si="4"/>
        <v>2.126411854620058E-2</v>
      </c>
      <c r="K44" s="7">
        <f t="shared" si="5"/>
        <v>3.4132046439882657E-2</v>
      </c>
    </row>
    <row r="45" spans="1:11" x14ac:dyDescent="0.25">
      <c r="A45">
        <v>20152</v>
      </c>
      <c r="B45" s="5">
        <v>1.2699999999999999E-2</v>
      </c>
      <c r="C45" s="6">
        <v>1.7100000000000001E-2</v>
      </c>
      <c r="D45" s="7">
        <v>2.98E-2</v>
      </c>
      <c r="I45" s="5">
        <f t="shared" si="3"/>
        <v>1.2699999999999999E-2</v>
      </c>
      <c r="J45" s="6">
        <f t="shared" si="4"/>
        <v>-2.021560037370787E-2</v>
      </c>
      <c r="K45" s="7">
        <f t="shared" si="5"/>
        <v>-7.7723384984540456E-3</v>
      </c>
    </row>
    <row r="46" spans="1:11" x14ac:dyDescent="0.25">
      <c r="A46">
        <v>20151</v>
      </c>
      <c r="B46" s="5">
        <v>1.3100000000000001E-2</v>
      </c>
      <c r="C46" s="6">
        <v>3.5999999999999997E-2</v>
      </c>
      <c r="D46" s="7">
        <v>4.9099999999999998E-2</v>
      </c>
      <c r="I46" s="5">
        <f t="shared" si="3"/>
        <v>1.3100000000000001E-2</v>
      </c>
      <c r="J46" s="6">
        <f t="shared" si="4"/>
        <v>8.062077081723798E-2</v>
      </c>
      <c r="K46" s="7">
        <f t="shared" si="5"/>
        <v>9.4776902914943895E-2</v>
      </c>
    </row>
    <row r="47" spans="1:11" x14ac:dyDescent="0.25">
      <c r="A47">
        <v>20144</v>
      </c>
      <c r="B47" s="5">
        <v>1.3599999999999999E-2</v>
      </c>
      <c r="C47" s="6">
        <v>1.34E-2</v>
      </c>
      <c r="D47" s="7">
        <v>2.7E-2</v>
      </c>
      <c r="I47" s="5">
        <f t="shared" si="3"/>
        <v>1.3599999999999999E-2</v>
      </c>
      <c r="J47" s="6">
        <f t="shared" si="4"/>
        <v>2.0310296365501457E-2</v>
      </c>
      <c r="K47" s="7">
        <f t="shared" si="5"/>
        <v>3.4186516396072397E-2</v>
      </c>
    </row>
    <row r="48" spans="1:11" x14ac:dyDescent="0.25">
      <c r="A48">
        <v>20143</v>
      </c>
      <c r="B48" s="5">
        <v>1.34E-2</v>
      </c>
      <c r="C48" s="6">
        <v>9.9000000000000008E-3</v>
      </c>
      <c r="D48" s="7">
        <v>2.3300000000000001E-2</v>
      </c>
      <c r="I48" s="5">
        <f t="shared" si="3"/>
        <v>1.34E-2</v>
      </c>
      <c r="J48" s="6">
        <f t="shared" si="4"/>
        <v>-6.6847112772034974E-3</v>
      </c>
      <c r="K48" s="7">
        <f t="shared" si="5"/>
        <v>6.6257135916820697E-3</v>
      </c>
    </row>
    <row r="49" spans="1:11" x14ac:dyDescent="0.25">
      <c r="A49">
        <v>20142</v>
      </c>
      <c r="B49" s="5">
        <v>1.38E-2</v>
      </c>
      <c r="C49" s="6">
        <v>1.83E-2</v>
      </c>
      <c r="D49" s="7">
        <v>3.2199999999999999E-2</v>
      </c>
      <c r="I49" s="5">
        <f t="shared" si="3"/>
        <v>1.38E-2</v>
      </c>
      <c r="J49" s="6">
        <f t="shared" si="4"/>
        <v>-3.2206372525616844E-3</v>
      </c>
      <c r="K49" s="7">
        <f t="shared" si="5"/>
        <v>1.0534917953352929E-2</v>
      </c>
    </row>
    <row r="50" spans="1:11" x14ac:dyDescent="0.25">
      <c r="A50">
        <v>20141</v>
      </c>
      <c r="B50" s="5">
        <v>1.38E-2</v>
      </c>
      <c r="C50" s="6">
        <v>2.92E-2</v>
      </c>
      <c r="D50" s="7">
        <v>4.2999999999999997E-2</v>
      </c>
      <c r="I50" s="5">
        <f t="shared" si="3"/>
        <v>1.38E-2</v>
      </c>
      <c r="J50" s="6">
        <f t="shared" si="4"/>
        <v>6.2764296632435657E-2</v>
      </c>
      <c r="K50" s="7">
        <f t="shared" si="5"/>
        <v>7.743044392596321E-2</v>
      </c>
    </row>
    <row r="51" spans="1:11" x14ac:dyDescent="0.25">
      <c r="A51">
        <v>20134</v>
      </c>
      <c r="B51" s="5">
        <v>1.46E-2</v>
      </c>
      <c r="C51" s="6">
        <v>1.2200000000000001E-2</v>
      </c>
      <c r="D51" s="7">
        <v>2.6800000000000001E-2</v>
      </c>
      <c r="I51" s="5">
        <f t="shared" si="3"/>
        <v>1.46E-2</v>
      </c>
      <c r="J51" s="6">
        <f t="shared" si="4"/>
        <v>1.1410251843942691E-2</v>
      </c>
      <c r="K51" s="7">
        <f t="shared" si="5"/>
        <v>2.6176841520864302E-2</v>
      </c>
    </row>
    <row r="52" spans="1:11" x14ac:dyDescent="0.25">
      <c r="A52">
        <v>20133</v>
      </c>
      <c r="B52" s="5">
        <v>1.44E-2</v>
      </c>
      <c r="C52" s="6">
        <v>1.26E-2</v>
      </c>
      <c r="D52" s="7">
        <v>2.7E-2</v>
      </c>
      <c r="I52" s="5">
        <f t="shared" si="3"/>
        <v>1.44E-2</v>
      </c>
      <c r="J52" s="6">
        <f t="shared" si="4"/>
        <v>2.7281480492836263E-3</v>
      </c>
      <c r="K52" s="7">
        <f t="shared" si="5"/>
        <v>1.7167433381193309E-2</v>
      </c>
    </row>
    <row r="53" spans="1:11" x14ac:dyDescent="0.25">
      <c r="A53">
        <v>20132</v>
      </c>
      <c r="B53" s="5">
        <v>1.4500000000000001E-2</v>
      </c>
      <c r="C53" s="6">
        <v>1.7600000000000001E-2</v>
      </c>
      <c r="D53" s="7">
        <v>3.2199999999999999E-2</v>
      </c>
      <c r="I53" s="5">
        <f t="shared" si="3"/>
        <v>1.4500000000000001E-2</v>
      </c>
      <c r="J53" s="6">
        <f t="shared" si="4"/>
        <v>7.9255850882979598E-3</v>
      </c>
      <c r="K53" s="7">
        <f t="shared" si="5"/>
        <v>2.2540506072078248E-2</v>
      </c>
    </row>
    <row r="54" spans="1:11" x14ac:dyDescent="0.25">
      <c r="A54">
        <v>20131</v>
      </c>
      <c r="B54" s="5">
        <v>1.4800000000000001E-2</v>
      </c>
      <c r="C54" s="6">
        <v>2.2499999999999999E-2</v>
      </c>
      <c r="D54" s="7">
        <v>3.73E-2</v>
      </c>
      <c r="I54" s="5">
        <f t="shared" si="3"/>
        <v>1.4800000000000001E-2</v>
      </c>
      <c r="J54" s="6">
        <f t="shared" si="4"/>
        <v>3.7505214965088879E-2</v>
      </c>
      <c r="K54" s="7">
        <f t="shared" si="5"/>
        <v>5.2860292146572174E-2</v>
      </c>
    </row>
    <row r="55" spans="1:11" x14ac:dyDescent="0.25">
      <c r="A55">
        <v>20124</v>
      </c>
      <c r="B55" s="5">
        <v>1.52E-2</v>
      </c>
      <c r="C55" s="6">
        <v>1.49E-2</v>
      </c>
      <c r="D55" s="7">
        <v>3.0099999999999998E-2</v>
      </c>
      <c r="I55" s="5">
        <f t="shared" si="3"/>
        <v>1.52E-2</v>
      </c>
      <c r="J55" s="6">
        <f t="shared" si="4"/>
        <v>2.8325718652974265E-2</v>
      </c>
      <c r="K55" s="7">
        <f t="shared" si="5"/>
        <v>4.3956269576499452E-2</v>
      </c>
    </row>
    <row r="56" spans="1:11" x14ac:dyDescent="0.25">
      <c r="A56">
        <v>20123</v>
      </c>
      <c r="B56" s="5">
        <v>1.4999999999999999E-2</v>
      </c>
      <c r="C56" s="6">
        <v>8.0999999999999996E-3</v>
      </c>
      <c r="D56" s="7">
        <v>2.3099999999999999E-2</v>
      </c>
      <c r="I56" s="5">
        <f t="shared" si="3"/>
        <v>1.4999999999999999E-2</v>
      </c>
      <c r="J56" s="6">
        <f t="shared" si="4"/>
        <v>-6.3129038480459008E-3</v>
      </c>
      <c r="K56" s="7">
        <f t="shared" si="5"/>
        <v>8.5924025942332172E-3</v>
      </c>
    </row>
    <row r="57" spans="1:11" x14ac:dyDescent="0.25">
      <c r="A57">
        <v>20122</v>
      </c>
      <c r="B57" s="5">
        <v>1.5100000000000001E-2</v>
      </c>
      <c r="C57" s="6">
        <v>1.54E-2</v>
      </c>
      <c r="D57" s="7">
        <v>3.04E-2</v>
      </c>
      <c r="I57" s="5">
        <f t="shared" si="3"/>
        <v>1.5100000000000001E-2</v>
      </c>
      <c r="J57" s="6">
        <f t="shared" si="4"/>
        <v>2.0928237092401165E-2</v>
      </c>
      <c r="K57" s="7">
        <f t="shared" si="5"/>
        <v>3.6344253472496257E-2</v>
      </c>
    </row>
    <row r="58" spans="1:11" x14ac:dyDescent="0.25">
      <c r="A58">
        <v>20121</v>
      </c>
      <c r="B58" s="5">
        <v>1.55E-2</v>
      </c>
      <c r="C58" s="6">
        <v>1.26E-2</v>
      </c>
      <c r="D58" s="7">
        <v>2.81E-2</v>
      </c>
      <c r="I58" s="5">
        <f t="shared" si="3"/>
        <v>1.55E-2</v>
      </c>
      <c r="J58" s="6">
        <f t="shared" si="4"/>
        <v>2.7281480492836263E-3</v>
      </c>
      <c r="K58" s="7">
        <f t="shared" si="5"/>
        <v>1.8270434344047626E-2</v>
      </c>
    </row>
    <row r="59" spans="1:11" x14ac:dyDescent="0.25">
      <c r="A59">
        <v>20114</v>
      </c>
      <c r="B59" s="5">
        <v>1.6E-2</v>
      </c>
      <c r="C59" s="6">
        <v>1.7600000000000001E-2</v>
      </c>
      <c r="D59" s="7">
        <v>3.3599999999999998E-2</v>
      </c>
      <c r="I59" s="5">
        <f t="shared" si="3"/>
        <v>1.6E-2</v>
      </c>
      <c r="J59" s="6">
        <f t="shared" si="4"/>
        <v>1.3256385141684797E-2</v>
      </c>
      <c r="K59" s="7">
        <f t="shared" si="5"/>
        <v>2.9468487303951685E-2</v>
      </c>
    </row>
    <row r="60" spans="1:11" x14ac:dyDescent="0.25">
      <c r="A60">
        <v>20113</v>
      </c>
      <c r="B60" s="5">
        <v>1.5900000000000001E-2</v>
      </c>
      <c r="C60" s="6">
        <v>1.9800000000000002E-2</v>
      </c>
      <c r="D60" s="7">
        <v>3.5700000000000003E-2</v>
      </c>
      <c r="I60" s="5">
        <f t="shared" si="3"/>
        <v>1.5900000000000001E-2</v>
      </c>
      <c r="J60" s="6">
        <f t="shared" si="4"/>
        <v>4.072832613551871E-2</v>
      </c>
      <c r="K60" s="7">
        <f t="shared" si="5"/>
        <v>5.7275906521073505E-2</v>
      </c>
    </row>
    <row r="61" spans="1:11" x14ac:dyDescent="0.25">
      <c r="A61">
        <v>20112</v>
      </c>
      <c r="B61" s="5">
        <v>1.6199999999999999E-2</v>
      </c>
      <c r="C61" s="6">
        <v>9.1999999999999998E-3</v>
      </c>
      <c r="D61" s="7">
        <v>2.5399999999999999E-2</v>
      </c>
      <c r="I61" s="5">
        <f t="shared" si="3"/>
        <v>1.6199999999999999E-2</v>
      </c>
      <c r="J61" s="6">
        <f t="shared" si="4"/>
        <v>-1.1728326135518708E-2</v>
      </c>
      <c r="K61" s="7">
        <f t="shared" si="5"/>
        <v>4.2816749810858923E-3</v>
      </c>
    </row>
    <row r="62" spans="1:11" x14ac:dyDescent="0.25">
      <c r="A62">
        <v>20111</v>
      </c>
      <c r="B62" s="5">
        <v>1.6500000000000001E-2</v>
      </c>
      <c r="C62" s="6">
        <v>1.9800000000000002E-2</v>
      </c>
      <c r="D62" s="7">
        <v>3.6299999999999999E-2</v>
      </c>
      <c r="I62" s="5">
        <f t="shared" si="3"/>
        <v>1.6500000000000001E-2</v>
      </c>
      <c r="J62" s="6">
        <f t="shared" si="4"/>
        <v>-2.5103854086189871E-3</v>
      </c>
      <c r="K62" s="7">
        <f t="shared" si="5"/>
        <v>1.3948193232138806E-2</v>
      </c>
    </row>
    <row r="63" spans="1:11" x14ac:dyDescent="0.25">
      <c r="A63">
        <v>20104</v>
      </c>
      <c r="B63" s="5">
        <v>1.72E-2</v>
      </c>
      <c r="C63" s="6">
        <v>3.1099999999999999E-2</v>
      </c>
      <c r="D63" s="7">
        <v>4.8399999999999999E-2</v>
      </c>
      <c r="I63" s="5">
        <f t="shared" si="3"/>
        <v>1.72E-2</v>
      </c>
      <c r="J63" s="6">
        <f t="shared" si="4"/>
        <v>5.8938622501020159E-2</v>
      </c>
      <c r="K63" s="7">
        <f t="shared" si="5"/>
        <v>7.7152366808037831E-2</v>
      </c>
    </row>
    <row r="64" spans="1:11" x14ac:dyDescent="0.25">
      <c r="A64">
        <v>20103</v>
      </c>
      <c r="B64" s="5">
        <v>1.72E-2</v>
      </c>
      <c r="C64" s="6">
        <v>1.7000000000000001E-2</v>
      </c>
      <c r="D64" s="7">
        <v>3.4299999999999997E-2</v>
      </c>
      <c r="I64" s="5">
        <f t="shared" si="3"/>
        <v>1.72E-2</v>
      </c>
      <c r="J64" s="6">
        <f t="shared" si="4"/>
        <v>2.8846222340859647E-2</v>
      </c>
      <c r="K64" s="7">
        <f t="shared" si="5"/>
        <v>4.6542377365122567E-2</v>
      </c>
    </row>
    <row r="65" spans="1:11" x14ac:dyDescent="0.25">
      <c r="A65">
        <v>20102</v>
      </c>
      <c r="B65" s="5">
        <v>1.7100000000000001E-2</v>
      </c>
      <c r="C65" s="6">
        <v>1.0999999999999999E-2</v>
      </c>
      <c r="D65" s="7">
        <v>2.81E-2</v>
      </c>
      <c r="I65" s="5">
        <f t="shared" si="3"/>
        <v>1.7100000000000001E-2</v>
      </c>
      <c r="J65" s="6">
        <f t="shared" si="4"/>
        <v>4.4761733671449984E-2</v>
      </c>
      <c r="K65" s="7">
        <f t="shared" si="5"/>
        <v>6.262715931723184E-2</v>
      </c>
    </row>
    <row r="66" spans="1:11" x14ac:dyDescent="0.25">
      <c r="A66">
        <v>20101</v>
      </c>
      <c r="B66" s="5">
        <v>1.72E-2</v>
      </c>
      <c r="C66" s="6">
        <v>-6.1000000000000004E-3</v>
      </c>
      <c r="D66" s="7">
        <v>1.11E-2</v>
      </c>
      <c r="I66" s="5">
        <f t="shared" si="3"/>
        <v>1.72E-2</v>
      </c>
      <c r="J66" s="6">
        <f t="shared" si="4"/>
        <v>3.3189970763851148E-2</v>
      </c>
      <c r="K66" s="7">
        <f t="shared" si="5"/>
        <v>5.0960838260989627E-2</v>
      </c>
    </row>
    <row r="67" spans="1:11" x14ac:dyDescent="0.25">
      <c r="A67">
        <v>20094</v>
      </c>
      <c r="B67" s="5">
        <v>1.72E-2</v>
      </c>
      <c r="C67" s="6">
        <v>-2.5999999999999999E-2</v>
      </c>
      <c r="D67" s="7">
        <v>-8.8000000000000005E-3</v>
      </c>
      <c r="I67" s="5">
        <f t="shared" si="3"/>
        <v>1.72E-2</v>
      </c>
      <c r="J67" s="6">
        <f t="shared" si="4"/>
        <v>1.3684844841879814E-2</v>
      </c>
      <c r="K67" s="7">
        <f t="shared" si="5"/>
        <v>3.1120224173160294E-2</v>
      </c>
    </row>
    <row r="68" spans="1:11" x14ac:dyDescent="0.25">
      <c r="A68">
        <v>20093</v>
      </c>
      <c r="B68" s="5">
        <v>1.6E-2</v>
      </c>
      <c r="C68" s="6">
        <v>-4.6100000000000002E-2</v>
      </c>
      <c r="D68" s="7">
        <v>-3.0099999999999998E-2</v>
      </c>
      <c r="I68" s="5">
        <f t="shared" si="3"/>
        <v>1.6E-2</v>
      </c>
      <c r="J68" s="6">
        <f t="shared" si="4"/>
        <v>-4.7087185195071636E-2</v>
      </c>
      <c r="K68" s="7">
        <f t="shared" si="5"/>
        <v>-3.1840580158192688E-2</v>
      </c>
    </row>
    <row r="69" spans="1:11" x14ac:dyDescent="0.25">
      <c r="A69">
        <v>20092</v>
      </c>
      <c r="B69" s="5">
        <v>1.5299999999999999E-2</v>
      </c>
      <c r="C69" s="6">
        <v>-4.5600000000000002E-2</v>
      </c>
      <c r="D69" s="7">
        <v>-3.0300000000000001E-2</v>
      </c>
      <c r="I69" s="5">
        <f t="shared" si="3"/>
        <v>1.5299999999999999E-2</v>
      </c>
      <c r="J69" s="6">
        <f t="shared" si="4"/>
        <v>-2.2104992357295048E-2</v>
      </c>
      <c r="K69" s="7">
        <f t="shared" si="5"/>
        <v>-7.1431987403615116E-3</v>
      </c>
    </row>
    <row r="70" spans="1:11" x14ac:dyDescent="0.25">
      <c r="A70">
        <v>20091</v>
      </c>
      <c r="B70" s="5">
        <v>1.4800000000000001E-2</v>
      </c>
      <c r="C70" s="6">
        <v>-5.7500000000000002E-2</v>
      </c>
      <c r="D70" s="7">
        <v>-4.2700000000000002E-2</v>
      </c>
      <c r="I70" s="5">
        <f t="shared" si="3"/>
        <v>1.4800000000000001E-2</v>
      </c>
      <c r="J70" s="6">
        <f t="shared" si="4"/>
        <v>-1.2681792143747699E-2</v>
      </c>
      <c r="K70" s="7">
        <f t="shared" si="5"/>
        <v>1.930517332524806E-3</v>
      </c>
    </row>
    <row r="71" spans="1:11" x14ac:dyDescent="0.25">
      <c r="A71">
        <v>20084</v>
      </c>
      <c r="B71" s="5">
        <v>1.4500000000000001E-2</v>
      </c>
      <c r="C71" s="6">
        <v>-8.0199999999999994E-2</v>
      </c>
      <c r="D71" s="7">
        <v>-6.5799999999999997E-2</v>
      </c>
      <c r="I71" s="5">
        <f t="shared" ref="I71:I102" si="6">+B71</f>
        <v>1.4500000000000001E-2</v>
      </c>
      <c r="J71" s="6">
        <f t="shared" ref="J71:J102" si="7">(C71-($C$2*C72))/(1-$C$2)</f>
        <v>-0.21485206060777126</v>
      </c>
      <c r="K71" s="7">
        <f t="shared" ref="K71:K102" si="8">(1+I71)*(1+J71)-1</f>
        <v>-0.20346741548658398</v>
      </c>
    </row>
    <row r="72" spans="1:11" x14ac:dyDescent="0.25">
      <c r="A72">
        <v>20083</v>
      </c>
      <c r="B72" s="5">
        <v>1.4E-2</v>
      </c>
      <c r="C72" s="6">
        <v>-1.2E-2</v>
      </c>
      <c r="D72" s="7">
        <v>2.0999999999999999E-3</v>
      </c>
      <c r="I72" s="5">
        <f t="shared" si="6"/>
        <v>1.4E-2</v>
      </c>
      <c r="J72" s="6">
        <f t="shared" si="7"/>
        <v>-2.2464163067759352E-2</v>
      </c>
      <c r="K72" s="7">
        <f t="shared" si="8"/>
        <v>-8.7786613507079281E-3</v>
      </c>
    </row>
    <row r="73" spans="1:11" x14ac:dyDescent="0.25">
      <c r="A73">
        <v>20082</v>
      </c>
      <c r="B73" s="5">
        <v>1.37E-2</v>
      </c>
      <c r="C73" s="6">
        <v>-6.7000000000000002E-3</v>
      </c>
      <c r="D73" s="7">
        <v>7.0000000000000001E-3</v>
      </c>
      <c r="I73" s="5">
        <f t="shared" si="6"/>
        <v>1.37E-2</v>
      </c>
      <c r="J73" s="6">
        <f t="shared" si="7"/>
        <v>-1.9533407535931281E-2</v>
      </c>
      <c r="K73" s="7">
        <f t="shared" si="8"/>
        <v>-6.1010152191735001E-3</v>
      </c>
    </row>
    <row r="74" spans="1:11" x14ac:dyDescent="0.25">
      <c r="A74">
        <v>20081</v>
      </c>
      <c r="B74" s="5">
        <v>1.4E-2</v>
      </c>
      <c r="C74" s="6">
        <v>-2.0000000000000001E-4</v>
      </c>
      <c r="D74" s="7">
        <v>1.38E-2</v>
      </c>
      <c r="I74" s="5">
        <f t="shared" si="6"/>
        <v>1.4E-2</v>
      </c>
      <c r="J74" s="6">
        <f t="shared" si="7"/>
        <v>-4.857207455851021E-2</v>
      </c>
      <c r="K74" s="7">
        <f t="shared" si="8"/>
        <v>-3.5252083602329343E-2</v>
      </c>
    </row>
    <row r="75" spans="1:11" x14ac:dyDescent="0.25">
      <c r="A75">
        <v>20074</v>
      </c>
      <c r="B75" s="5">
        <v>1.5100000000000001E-2</v>
      </c>
      <c r="C75" s="6">
        <v>2.4299999999999999E-2</v>
      </c>
      <c r="D75" s="7">
        <v>3.9399999999999998E-2</v>
      </c>
      <c r="I75" s="5">
        <f t="shared" si="6"/>
        <v>1.5100000000000001E-2</v>
      </c>
      <c r="J75" s="6">
        <f t="shared" si="7"/>
        <v>5.1546311383977174E-2</v>
      </c>
      <c r="K75" s="7">
        <f t="shared" si="8"/>
        <v>6.7424660685875049E-2</v>
      </c>
    </row>
    <row r="76" spans="1:11" x14ac:dyDescent="0.25">
      <c r="A76">
        <v>20073</v>
      </c>
      <c r="B76" s="5">
        <v>1.44E-2</v>
      </c>
      <c r="C76" s="6">
        <v>1.0500000000000001E-2</v>
      </c>
      <c r="D76" s="7">
        <v>2.4899999999999999E-2</v>
      </c>
      <c r="I76" s="5">
        <f t="shared" si="6"/>
        <v>1.44E-2</v>
      </c>
      <c r="J76" s="6">
        <f t="shared" si="7"/>
        <v>-7.6642075893181161E-3</v>
      </c>
      <c r="K76" s="7">
        <f t="shared" si="8"/>
        <v>6.6254278213957463E-3</v>
      </c>
    </row>
    <row r="77" spans="1:11" x14ac:dyDescent="0.25">
      <c r="A77">
        <v>20072</v>
      </c>
      <c r="B77" s="5">
        <v>1.44E-2</v>
      </c>
      <c r="C77" s="6">
        <v>1.9699999999999999E-2</v>
      </c>
      <c r="D77" s="7">
        <v>3.4099999999999998E-2</v>
      </c>
      <c r="I77" s="5">
        <f t="shared" si="6"/>
        <v>1.44E-2</v>
      </c>
      <c r="J77" s="6">
        <f t="shared" si="7"/>
        <v>2.5425674131415492E-2</v>
      </c>
      <c r="K77" s="7">
        <f t="shared" si="8"/>
        <v>4.0191803838907747E-2</v>
      </c>
    </row>
    <row r="78" spans="1:11" x14ac:dyDescent="0.25">
      <c r="A78">
        <v>20071</v>
      </c>
      <c r="B78" s="5">
        <v>1.47E-2</v>
      </c>
      <c r="C78" s="6">
        <v>1.6799999999999999E-2</v>
      </c>
      <c r="D78" s="7">
        <v>3.15E-2</v>
      </c>
      <c r="I78" s="5">
        <f t="shared" si="6"/>
        <v>1.47E-2</v>
      </c>
      <c r="J78" s="6">
        <f t="shared" si="7"/>
        <v>1.2851259219713447E-2</v>
      </c>
      <c r="K78" s="7">
        <f t="shared" si="8"/>
        <v>2.7740172730243096E-2</v>
      </c>
    </row>
    <row r="79" spans="1:11" x14ac:dyDescent="0.25">
      <c r="A79">
        <v>20064</v>
      </c>
      <c r="B79" s="5">
        <v>1.5800000000000002E-2</v>
      </c>
      <c r="C79" s="6">
        <v>1.8800000000000001E-2</v>
      </c>
      <c r="D79" s="7">
        <v>3.4599999999999999E-2</v>
      </c>
      <c r="I79" s="5">
        <f t="shared" si="6"/>
        <v>1.5800000000000002E-2</v>
      </c>
      <c r="J79" s="6">
        <f t="shared" si="7"/>
        <v>2.748722971663041E-2</v>
      </c>
      <c r="K79" s="7">
        <f t="shared" si="8"/>
        <v>4.3721527946153138E-2</v>
      </c>
    </row>
    <row r="80" spans="1:11" x14ac:dyDescent="0.25">
      <c r="A80">
        <v>20063</v>
      </c>
      <c r="B80" s="5">
        <v>1.4800000000000001E-2</v>
      </c>
      <c r="C80" s="6">
        <v>1.44E-2</v>
      </c>
      <c r="D80" s="7">
        <v>2.92E-2</v>
      </c>
      <c r="I80" s="5">
        <f t="shared" si="6"/>
        <v>1.4800000000000001E-2</v>
      </c>
      <c r="J80" s="6">
        <f t="shared" si="7"/>
        <v>1.3610251843942689E-2</v>
      </c>
      <c r="K80" s="7">
        <f t="shared" si="8"/>
        <v>2.8611683571232893E-2</v>
      </c>
    </row>
    <row r="81" spans="1:11" x14ac:dyDescent="0.25">
      <c r="A81">
        <v>20062</v>
      </c>
      <c r="B81" s="5">
        <v>1.5299999999999999E-2</v>
      </c>
      <c r="C81" s="6">
        <v>1.4800000000000001E-2</v>
      </c>
      <c r="D81" s="7">
        <v>0.03</v>
      </c>
      <c r="I81" s="5">
        <f t="shared" si="6"/>
        <v>1.5299999999999999E-2</v>
      </c>
      <c r="J81" s="6">
        <f t="shared" si="7"/>
        <v>6.3102073223839251E-3</v>
      </c>
      <c r="K81" s="7">
        <f t="shared" si="8"/>
        <v>2.1706753494416642E-2</v>
      </c>
    </row>
    <row r="82" spans="1:11" x14ac:dyDescent="0.25">
      <c r="A82">
        <v>20061</v>
      </c>
      <c r="B82" s="5">
        <v>1.6E-2</v>
      </c>
      <c r="C82" s="6">
        <v>1.9099999999999999E-2</v>
      </c>
      <c r="D82" s="7">
        <v>3.5099999999999999E-2</v>
      </c>
      <c r="I82" s="5">
        <f t="shared" si="6"/>
        <v>1.6E-2</v>
      </c>
      <c r="J82" s="6">
        <f t="shared" si="7"/>
        <v>-2.8482326402452907E-2</v>
      </c>
      <c r="K82" s="7">
        <f t="shared" si="8"/>
        <v>-1.2938043624892148E-2</v>
      </c>
    </row>
    <row r="83" spans="1:11" x14ac:dyDescent="0.25">
      <c r="A83">
        <v>20054</v>
      </c>
      <c r="B83" s="5">
        <v>1.6799999999999999E-2</v>
      </c>
      <c r="C83" s="6">
        <v>4.3200000000000002E-2</v>
      </c>
      <c r="D83" s="7">
        <v>0.06</v>
      </c>
      <c r="I83" s="5">
        <f t="shared" si="6"/>
        <v>1.6799999999999999E-2</v>
      </c>
      <c r="J83" s="6">
        <f t="shared" si="7"/>
        <v>8.4464341153994427E-2</v>
      </c>
      <c r="K83" s="7">
        <f t="shared" si="8"/>
        <v>0.10268334208538143</v>
      </c>
    </row>
    <row r="84" spans="1:11" x14ac:dyDescent="0.25">
      <c r="A84">
        <v>20053</v>
      </c>
      <c r="B84" s="5">
        <v>1.6299999999999999E-2</v>
      </c>
      <c r="C84" s="6">
        <v>2.23E-2</v>
      </c>
      <c r="D84" s="7">
        <v>3.8600000000000002E-2</v>
      </c>
      <c r="I84" s="5">
        <f t="shared" si="6"/>
        <v>1.6299999999999999E-2</v>
      </c>
      <c r="J84" s="6">
        <f t="shared" si="7"/>
        <v>1.2428148049283629E-2</v>
      </c>
      <c r="K84" s="7">
        <f t="shared" si="8"/>
        <v>2.8930726862486988E-2</v>
      </c>
    </row>
    <row r="85" spans="1:11" x14ac:dyDescent="0.25">
      <c r="A85">
        <v>20052</v>
      </c>
      <c r="B85" s="5">
        <v>1.67E-2</v>
      </c>
      <c r="C85" s="6">
        <v>2.7300000000000001E-2</v>
      </c>
      <c r="D85" s="7">
        <v>4.3999999999999997E-2</v>
      </c>
      <c r="I85" s="5">
        <f t="shared" si="6"/>
        <v>1.67E-2</v>
      </c>
      <c r="J85" s="6">
        <f t="shared" si="7"/>
        <v>2.8089748156057314E-2</v>
      </c>
      <c r="K85" s="7">
        <f t="shared" si="8"/>
        <v>4.5258846950263498E-2</v>
      </c>
    </row>
    <row r="86" spans="1:11" x14ac:dyDescent="0.25">
      <c r="A86">
        <v>20051</v>
      </c>
      <c r="B86" s="5">
        <v>1.6799999999999999E-2</v>
      </c>
      <c r="C86" s="6">
        <v>2.69E-2</v>
      </c>
      <c r="D86" s="7">
        <v>4.3700000000000003E-2</v>
      </c>
      <c r="I86" s="5">
        <f t="shared" si="6"/>
        <v>1.6799999999999999E-2</v>
      </c>
      <c r="J86" s="6">
        <f t="shared" si="7"/>
        <v>-3.6674726562613426E-2</v>
      </c>
      <c r="K86" s="7">
        <f t="shared" si="8"/>
        <v>-2.0490861968865404E-2</v>
      </c>
    </row>
    <row r="87" spans="1:11" x14ac:dyDescent="0.25">
      <c r="A87">
        <v>20044</v>
      </c>
      <c r="B87" s="5">
        <v>1.8800000000000001E-2</v>
      </c>
      <c r="C87" s="6">
        <v>5.91E-2</v>
      </c>
      <c r="D87" s="7">
        <v>7.7899999999999997E-2</v>
      </c>
      <c r="I87" s="5">
        <f t="shared" si="6"/>
        <v>1.8800000000000001E-2</v>
      </c>
      <c r="J87" s="6">
        <f t="shared" si="7"/>
        <v>0.11102594126076809</v>
      </c>
      <c r="K87" s="7">
        <f t="shared" si="8"/>
        <v>0.1319132289564704</v>
      </c>
    </row>
    <row r="88" spans="1:11" x14ac:dyDescent="0.25">
      <c r="A88">
        <v>20043</v>
      </c>
      <c r="B88" s="5">
        <v>1.83E-2</v>
      </c>
      <c r="C88" s="6">
        <v>3.2800000000000003E-2</v>
      </c>
      <c r="D88" s="7">
        <v>5.11E-2</v>
      </c>
      <c r="I88" s="5">
        <f t="shared" si="6"/>
        <v>1.83E-2</v>
      </c>
      <c r="J88" s="6">
        <f t="shared" si="7"/>
        <v>2.7864074024641829E-2</v>
      </c>
      <c r="K88" s="7">
        <f t="shared" si="8"/>
        <v>4.6673986579292892E-2</v>
      </c>
    </row>
    <row r="89" spans="1:11" x14ac:dyDescent="0.25">
      <c r="A89">
        <v>20042</v>
      </c>
      <c r="B89" s="5">
        <v>1.89E-2</v>
      </c>
      <c r="C89" s="6">
        <v>3.5299999999999998E-2</v>
      </c>
      <c r="D89" s="7">
        <v>5.4199999999999998E-2</v>
      </c>
      <c r="I89" s="5">
        <f t="shared" si="6"/>
        <v>1.89E-2</v>
      </c>
      <c r="J89" s="6">
        <f t="shared" si="7"/>
        <v>7.9328459700195003E-2</v>
      </c>
      <c r="K89" s="7">
        <f t="shared" si="8"/>
        <v>9.9727767588528637E-2</v>
      </c>
    </row>
    <row r="90" spans="1:11" x14ac:dyDescent="0.25">
      <c r="A90">
        <v>20041</v>
      </c>
      <c r="B90" s="5">
        <v>1.89E-2</v>
      </c>
      <c r="C90" s="6">
        <v>1.2999999999999999E-2</v>
      </c>
      <c r="D90" s="7">
        <v>3.1899999999999998E-2</v>
      </c>
      <c r="I90" s="5">
        <f t="shared" si="6"/>
        <v>1.89E-2</v>
      </c>
      <c r="J90" s="6">
        <f t="shared" si="7"/>
        <v>-4.8402919133455825E-2</v>
      </c>
      <c r="K90" s="7">
        <f t="shared" si="8"/>
        <v>-3.0417734305078215E-2</v>
      </c>
    </row>
    <row r="91" spans="1:11" x14ac:dyDescent="0.25">
      <c r="A91">
        <v>20034</v>
      </c>
      <c r="B91" s="5">
        <v>2.1000000000000001E-2</v>
      </c>
      <c r="C91" s="6">
        <v>4.41E-2</v>
      </c>
      <c r="D91" s="7">
        <v>6.5199999999999994E-2</v>
      </c>
      <c r="I91" s="5">
        <f t="shared" si="6"/>
        <v>2.1000000000000001E-2</v>
      </c>
      <c r="J91" s="6">
        <f t="shared" si="7"/>
        <v>0.11004397103078535</v>
      </c>
      <c r="K91" s="7">
        <f t="shared" si="8"/>
        <v>0.13335489442243187</v>
      </c>
    </row>
    <row r="92" spans="1:11" x14ac:dyDescent="0.25">
      <c r="A92">
        <v>20033</v>
      </c>
      <c r="B92" s="5">
        <v>2.0199999999999999E-2</v>
      </c>
      <c r="C92" s="6">
        <v>1.0699999999999999E-2</v>
      </c>
      <c r="D92" s="7">
        <v>3.09E-2</v>
      </c>
      <c r="I92" s="5">
        <f t="shared" si="6"/>
        <v>2.0199999999999999E-2</v>
      </c>
      <c r="J92" s="6">
        <f t="shared" si="7"/>
        <v>-8.4513927843897618E-3</v>
      </c>
      <c r="K92" s="7">
        <f t="shared" si="8"/>
        <v>1.1577889081365589E-2</v>
      </c>
    </row>
    <row r="93" spans="1:11" x14ac:dyDescent="0.25">
      <c r="A93">
        <v>20032</v>
      </c>
      <c r="B93" s="5">
        <v>2.01E-2</v>
      </c>
      <c r="C93" s="6">
        <v>2.0400000000000001E-2</v>
      </c>
      <c r="D93" s="7">
        <v>4.0500000000000001E-2</v>
      </c>
      <c r="I93" s="5">
        <f t="shared" si="6"/>
        <v>2.01E-2</v>
      </c>
      <c r="J93" s="6">
        <f t="shared" si="7"/>
        <v>4.3697570603690637E-2</v>
      </c>
      <c r="K93" s="7">
        <f t="shared" si="8"/>
        <v>6.4675891772824734E-2</v>
      </c>
    </row>
    <row r="94" spans="1:11" x14ac:dyDescent="0.25">
      <c r="A94">
        <v>20031</v>
      </c>
      <c r="B94" s="5">
        <v>2.07E-2</v>
      </c>
      <c r="C94" s="6">
        <v>8.6E-3</v>
      </c>
      <c r="D94" s="7">
        <v>2.9399999999999999E-2</v>
      </c>
      <c r="I94" s="5">
        <f t="shared" si="6"/>
        <v>2.07E-2</v>
      </c>
      <c r="J94" s="6">
        <f t="shared" si="7"/>
        <v>-2.2200178086235072E-2</v>
      </c>
      <c r="K94" s="7">
        <f t="shared" si="8"/>
        <v>-1.9597217726201599E-3</v>
      </c>
    </row>
    <row r="95" spans="1:11" x14ac:dyDescent="0.25">
      <c r="A95">
        <v>20024</v>
      </c>
      <c r="B95" s="5">
        <v>2.1399999999999999E-2</v>
      </c>
      <c r="C95" s="6">
        <v>2.4199999999999999E-2</v>
      </c>
      <c r="D95" s="7">
        <v>4.5600000000000002E-2</v>
      </c>
      <c r="I95" s="5">
        <f t="shared" si="6"/>
        <v>2.1399999999999999E-2</v>
      </c>
      <c r="J95" s="6">
        <f t="shared" si="7"/>
        <v>5.4407866969192087E-2</v>
      </c>
      <c r="K95" s="7">
        <f t="shared" si="8"/>
        <v>7.6972195322332793E-2</v>
      </c>
    </row>
    <row r="96" spans="1:11" x14ac:dyDescent="0.25">
      <c r="A96">
        <v>20023</v>
      </c>
      <c r="B96" s="5">
        <v>2.1499999999999998E-2</v>
      </c>
      <c r="C96" s="6">
        <v>8.8999999999999999E-3</v>
      </c>
      <c r="D96" s="7">
        <v>3.04E-2</v>
      </c>
      <c r="I96" s="5">
        <f t="shared" si="6"/>
        <v>2.1499999999999998E-2</v>
      </c>
      <c r="J96" s="6">
        <f t="shared" si="7"/>
        <v>-1.9590371457880052E-3</v>
      </c>
      <c r="K96" s="7">
        <f t="shared" si="8"/>
        <v>1.9498843555577627E-2</v>
      </c>
    </row>
    <row r="97" spans="1:11" x14ac:dyDescent="0.25">
      <c r="A97">
        <v>20022</v>
      </c>
      <c r="B97" s="5">
        <v>2.1299999999999999E-2</v>
      </c>
      <c r="C97" s="6">
        <v>1.44E-2</v>
      </c>
      <c r="D97" s="7">
        <v>3.56E-2</v>
      </c>
      <c r="I97" s="5">
        <f t="shared" si="6"/>
        <v>2.1299999999999999E-2</v>
      </c>
      <c r="J97" s="6">
        <f t="shared" si="7"/>
        <v>4.7766859593421328E-2</v>
      </c>
      <c r="K97" s="7">
        <f t="shared" si="8"/>
        <v>7.0084293702761258E-2</v>
      </c>
    </row>
    <row r="98" spans="1:11" x14ac:dyDescent="0.25">
      <c r="A98">
        <v>20021</v>
      </c>
      <c r="B98" s="5">
        <v>2.1499999999999998E-2</v>
      </c>
      <c r="C98" s="6">
        <v>-2.5000000000000001E-3</v>
      </c>
      <c r="D98" s="7">
        <v>1.9E-2</v>
      </c>
      <c r="I98" s="5">
        <f t="shared" si="6"/>
        <v>2.1499999999999998E-2</v>
      </c>
      <c r="J98" s="6">
        <f t="shared" si="7"/>
        <v>1.1320592731002917E-2</v>
      </c>
      <c r="K98" s="7">
        <f t="shared" si="8"/>
        <v>3.306398547471967E-2</v>
      </c>
    </row>
    <row r="99" spans="1:11" x14ac:dyDescent="0.25">
      <c r="A99">
        <v>20014</v>
      </c>
      <c r="B99" s="5">
        <v>2.18E-2</v>
      </c>
      <c r="C99" s="6">
        <v>-9.4999999999999998E-3</v>
      </c>
      <c r="D99" s="7">
        <v>1.23E-2</v>
      </c>
      <c r="I99" s="5">
        <f t="shared" si="6"/>
        <v>2.18E-2</v>
      </c>
      <c r="J99" s="6">
        <f t="shared" si="7"/>
        <v>-1.246155558521491E-2</v>
      </c>
      <c r="K99" s="7">
        <f t="shared" si="8"/>
        <v>9.066782503027504E-3</v>
      </c>
    </row>
    <row r="100" spans="1:11" x14ac:dyDescent="0.25">
      <c r="A100">
        <v>20013</v>
      </c>
      <c r="B100" s="5">
        <v>2.1000000000000001E-2</v>
      </c>
      <c r="C100" s="6">
        <v>-8.0000000000000002E-3</v>
      </c>
      <c r="D100" s="7">
        <v>1.3100000000000001E-2</v>
      </c>
      <c r="I100" s="5">
        <f t="shared" si="6"/>
        <v>2.1000000000000001E-2</v>
      </c>
      <c r="J100" s="6">
        <f t="shared" si="7"/>
        <v>-1.945134826283099E-2</v>
      </c>
      <c r="K100" s="7">
        <f t="shared" si="8"/>
        <v>1.1401734236493599E-3</v>
      </c>
    </row>
    <row r="101" spans="1:11" x14ac:dyDescent="0.25">
      <c r="A101">
        <v>20012</v>
      </c>
      <c r="B101" s="5">
        <v>2.12E-2</v>
      </c>
      <c r="C101" s="6">
        <v>-2.2000000000000001E-3</v>
      </c>
      <c r="D101" s="7">
        <v>1.9E-2</v>
      </c>
      <c r="I101" s="5">
        <f t="shared" si="6"/>
        <v>2.12E-2</v>
      </c>
      <c r="J101" s="6">
        <f t="shared" si="7"/>
        <v>-7.7282370924011672E-3</v>
      </c>
      <c r="K101" s="7">
        <f t="shared" si="8"/>
        <v>1.3307924281240169E-2</v>
      </c>
    </row>
    <row r="102" spans="1:11" x14ac:dyDescent="0.25">
      <c r="A102">
        <v>20011</v>
      </c>
      <c r="B102" s="5">
        <v>2.1700000000000001E-2</v>
      </c>
      <c r="C102" s="6">
        <v>5.9999999999999995E-4</v>
      </c>
      <c r="D102" s="7">
        <v>2.24E-2</v>
      </c>
      <c r="I102" s="5">
        <f t="shared" si="6"/>
        <v>2.1700000000000001E-2</v>
      </c>
      <c r="J102" s="6">
        <f t="shared" si="7"/>
        <v>1.2446222340859642E-2</v>
      </c>
      <c r="K102" s="7">
        <f t="shared" si="8"/>
        <v>3.4416305365656319E-2</v>
      </c>
    </row>
    <row r="103" spans="1:11" x14ac:dyDescent="0.25">
      <c r="A103">
        <v>20004</v>
      </c>
      <c r="B103" s="5">
        <v>2.1600000000000001E-2</v>
      </c>
      <c r="C103" s="6">
        <v>-5.4000000000000003E-3</v>
      </c>
      <c r="D103" s="7">
        <v>1.6199999999999999E-2</v>
      </c>
      <c r="I103" s="5">
        <f t="shared" ref="I103:I134" si="9">+B103</f>
        <v>2.1600000000000001E-2</v>
      </c>
      <c r="J103" s="6">
        <f t="shared" ref="J103:J134" si="10">(C103-($C$2*C104))/(1-$C$2)</f>
        <v>-1.4876977872687717E-2</v>
      </c>
      <c r="K103" s="7">
        <f t="shared" ref="K103:K134" si="11">(1+I103)*(1+J103)-1</f>
        <v>6.4016794052623727E-3</v>
      </c>
    </row>
    <row r="104" spans="1:11" x14ac:dyDescent="0.25">
      <c r="A104">
        <v>20003</v>
      </c>
      <c r="B104" s="5">
        <v>1.9800000000000002E-2</v>
      </c>
      <c r="C104" s="6">
        <v>-5.9999999999999995E-4</v>
      </c>
      <c r="D104" s="7">
        <v>1.9199999999999998E-2</v>
      </c>
      <c r="I104" s="5">
        <f t="shared" si="9"/>
        <v>1.9800000000000002E-2</v>
      </c>
      <c r="J104" s="6">
        <f t="shared" si="10"/>
        <v>-1.3897481560573093E-3</v>
      </c>
      <c r="K104" s="7">
        <f t="shared" si="11"/>
        <v>1.8382734830452829E-2</v>
      </c>
    </row>
    <row r="105" spans="1:11" x14ac:dyDescent="0.25">
      <c r="A105">
        <v>20002</v>
      </c>
      <c r="B105" s="5">
        <v>2.07E-2</v>
      </c>
      <c r="C105" s="6">
        <v>-2.0000000000000001E-4</v>
      </c>
      <c r="D105" s="7">
        <v>2.0500000000000001E-2</v>
      </c>
      <c r="I105" s="5">
        <f t="shared" si="9"/>
        <v>2.07E-2</v>
      </c>
      <c r="J105" s="6">
        <f t="shared" si="10"/>
        <v>-2.5629609856727226E-6</v>
      </c>
      <c r="K105" s="7">
        <f t="shared" si="11"/>
        <v>2.0697383985721851E-2</v>
      </c>
    </row>
    <row r="106" spans="1:11" x14ac:dyDescent="0.25">
      <c r="A106">
        <v>20001</v>
      </c>
      <c r="B106" s="5">
        <v>2.0400000000000001E-2</v>
      </c>
      <c r="C106" s="6">
        <v>-2.9999999999999997E-4</v>
      </c>
      <c r="D106" s="7">
        <v>2.01E-2</v>
      </c>
      <c r="I106" s="5">
        <f t="shared" si="9"/>
        <v>2.0400000000000001E-2</v>
      </c>
      <c r="J106" s="6">
        <f t="shared" si="10"/>
        <v>-1.1553911223816661E-2</v>
      </c>
      <c r="K106" s="7">
        <f t="shared" si="11"/>
        <v>8.6103889872175543E-3</v>
      </c>
    </row>
    <row r="107" spans="1:11" x14ac:dyDescent="0.25">
      <c r="A107">
        <v>19994</v>
      </c>
      <c r="B107" s="5">
        <v>2.0500000000000001E-2</v>
      </c>
      <c r="C107" s="6">
        <v>5.4000000000000003E-3</v>
      </c>
      <c r="D107" s="7">
        <v>2.5899999999999999E-2</v>
      </c>
      <c r="I107" s="5">
        <f t="shared" si="9"/>
        <v>2.0500000000000001E-2</v>
      </c>
      <c r="J107" s="6">
        <f t="shared" si="10"/>
        <v>1.2705170443530114E-2</v>
      </c>
      <c r="K107" s="7">
        <f t="shared" si="11"/>
        <v>3.346562643762252E-2</v>
      </c>
    </row>
    <row r="108" spans="1:11" x14ac:dyDescent="0.25">
      <c r="A108">
        <v>19993</v>
      </c>
      <c r="B108" s="5">
        <v>1.9900000000000001E-2</v>
      </c>
      <c r="C108" s="6">
        <v>1.6999999999999999E-3</v>
      </c>
      <c r="D108" s="7">
        <v>2.1600000000000001E-2</v>
      </c>
      <c r="I108" s="5">
        <f t="shared" si="9"/>
        <v>1.9900000000000001E-2</v>
      </c>
      <c r="J108" s="6">
        <f t="shared" si="10"/>
        <v>2.4897481560573094E-3</v>
      </c>
      <c r="K108" s="7">
        <f t="shared" si="11"/>
        <v>2.2439294144362965E-2</v>
      </c>
    </row>
    <row r="109" spans="1:11" x14ac:dyDescent="0.25">
      <c r="A109">
        <v>19992</v>
      </c>
      <c r="B109" s="5">
        <v>2.1299999999999999E-2</v>
      </c>
      <c r="C109" s="6">
        <v>1.2999999999999999E-3</v>
      </c>
      <c r="D109" s="7">
        <v>2.2599999999999999E-2</v>
      </c>
      <c r="I109" s="5">
        <f t="shared" si="9"/>
        <v>2.1299999999999999E-2</v>
      </c>
      <c r="J109" s="6">
        <f t="shared" si="10"/>
        <v>9.0512592197134465E-4</v>
      </c>
      <c r="K109" s="7">
        <f t="shared" si="11"/>
        <v>2.2224405104109612E-2</v>
      </c>
    </row>
    <row r="110" spans="1:11" x14ac:dyDescent="0.25">
      <c r="A110">
        <v>19991</v>
      </c>
      <c r="B110" s="5">
        <v>2.06E-2</v>
      </c>
      <c r="C110" s="6">
        <v>1.5E-3</v>
      </c>
      <c r="D110" s="7">
        <v>2.2100000000000002E-2</v>
      </c>
      <c r="I110" s="5">
        <f t="shared" si="9"/>
        <v>2.06E-2</v>
      </c>
      <c r="J110" s="6">
        <f t="shared" si="10"/>
        <v>-1.5084711277203502E-2</v>
      </c>
      <c r="K110" s="7">
        <f t="shared" si="11"/>
        <v>5.2045436704861725E-3</v>
      </c>
    </row>
    <row r="111" spans="1:11" x14ac:dyDescent="0.25">
      <c r="A111">
        <v>19984</v>
      </c>
      <c r="B111" s="5">
        <v>2.1399999999999999E-2</v>
      </c>
      <c r="C111" s="6">
        <v>9.9000000000000008E-3</v>
      </c>
      <c r="D111" s="7">
        <v>3.1300000000000001E-2</v>
      </c>
      <c r="I111" s="5">
        <f t="shared" si="9"/>
        <v>2.1399999999999999E-2</v>
      </c>
      <c r="J111" s="6">
        <f t="shared" si="10"/>
        <v>1.5033363014372515E-2</v>
      </c>
      <c r="K111" s="7">
        <f t="shared" si="11"/>
        <v>3.6755076982880164E-2</v>
      </c>
    </row>
    <row r="112" spans="1:11" x14ac:dyDescent="0.25">
      <c r="A112">
        <v>19983</v>
      </c>
      <c r="B112" s="5">
        <v>2.0400000000000001E-2</v>
      </c>
      <c r="C112" s="6">
        <v>7.3000000000000001E-3</v>
      </c>
      <c r="D112" s="7">
        <v>2.76E-2</v>
      </c>
      <c r="I112" s="5">
        <f t="shared" si="9"/>
        <v>2.0400000000000001E-2</v>
      </c>
      <c r="J112" s="6">
        <f t="shared" si="10"/>
        <v>-6.9154668090315712E-3</v>
      </c>
      <c r="K112" s="7">
        <f t="shared" si="11"/>
        <v>1.3343457668064218E-2</v>
      </c>
    </row>
    <row r="113" spans="1:11" x14ac:dyDescent="0.25">
      <c r="A113">
        <v>19982</v>
      </c>
      <c r="B113" s="5">
        <v>2.07E-2</v>
      </c>
      <c r="C113" s="6">
        <v>1.4500000000000001E-2</v>
      </c>
      <c r="D113" s="7">
        <v>3.5200000000000002E-2</v>
      </c>
      <c r="I113" s="5">
        <f t="shared" si="9"/>
        <v>2.07E-2</v>
      </c>
      <c r="J113" s="6">
        <f t="shared" si="10"/>
        <v>2.8123155691988592E-2</v>
      </c>
      <c r="K113" s="7">
        <f t="shared" si="11"/>
        <v>4.9405305014812662E-2</v>
      </c>
    </row>
    <row r="114" spans="1:11" x14ac:dyDescent="0.25">
      <c r="A114">
        <v>19981</v>
      </c>
      <c r="B114" s="5">
        <v>2.1600000000000001E-2</v>
      </c>
      <c r="C114" s="6">
        <v>7.6E-3</v>
      </c>
      <c r="D114" s="7">
        <v>2.9100000000000001E-2</v>
      </c>
      <c r="I114" s="5">
        <f t="shared" si="9"/>
        <v>2.1600000000000001E-2</v>
      </c>
      <c r="J114" s="6">
        <f t="shared" si="10"/>
        <v>4.2435703367564364E-3</v>
      </c>
      <c r="K114" s="7">
        <f t="shared" si="11"/>
        <v>2.5935231456030383E-2</v>
      </c>
    </row>
    <row r="115" spans="1:11" x14ac:dyDescent="0.25">
      <c r="A115">
        <v>19974</v>
      </c>
      <c r="B115" s="5">
        <v>2.1499999999999998E-2</v>
      </c>
      <c r="C115" s="6">
        <v>9.2999999999999992E-3</v>
      </c>
      <c r="D115" s="7">
        <v>3.0700000000000002E-2</v>
      </c>
      <c r="I115" s="5">
        <f t="shared" si="9"/>
        <v>2.1499999999999998E-2</v>
      </c>
      <c r="J115" s="6">
        <f t="shared" si="10"/>
        <v>2.2133407535931279E-2</v>
      </c>
      <c r="K115" s="7">
        <f t="shared" si="11"/>
        <v>4.4109275797953762E-2</v>
      </c>
    </row>
    <row r="116" spans="1:11" x14ac:dyDescent="0.25">
      <c r="A116">
        <v>19973</v>
      </c>
      <c r="B116" s="5">
        <v>2.0500000000000001E-2</v>
      </c>
      <c r="C116" s="6">
        <v>2.8E-3</v>
      </c>
      <c r="D116" s="7">
        <v>2.3300000000000001E-2</v>
      </c>
      <c r="I116" s="5">
        <f t="shared" si="9"/>
        <v>2.0500000000000001E-2</v>
      </c>
      <c r="J116" s="6">
        <f t="shared" si="10"/>
        <v>1.6818029770017243E-2</v>
      </c>
      <c r="K116" s="7">
        <f t="shared" si="11"/>
        <v>3.7662799380302703E-2</v>
      </c>
    </row>
    <row r="117" spans="1:11" x14ac:dyDescent="0.25">
      <c r="A117">
        <v>19972</v>
      </c>
      <c r="B117" s="5">
        <v>2.0799999999999999E-2</v>
      </c>
      <c r="C117" s="6">
        <v>-4.3E-3</v>
      </c>
      <c r="D117" s="7">
        <v>1.6400000000000001E-2</v>
      </c>
      <c r="I117" s="5">
        <f t="shared" si="9"/>
        <v>2.0799999999999999E-2</v>
      </c>
      <c r="J117" s="6">
        <f t="shared" si="10"/>
        <v>2.4128593264871314E-3</v>
      </c>
      <c r="K117" s="7">
        <f t="shared" si="11"/>
        <v>2.3263046800477971E-2</v>
      </c>
    </row>
    <row r="118" spans="1:11" x14ac:dyDescent="0.25">
      <c r="A118">
        <v>19971</v>
      </c>
      <c r="B118" s="5">
        <v>2.01E-2</v>
      </c>
      <c r="C118" s="6">
        <v>-7.7000000000000002E-3</v>
      </c>
      <c r="D118" s="7">
        <v>1.24E-2</v>
      </c>
      <c r="I118" s="5">
        <f t="shared" si="9"/>
        <v>2.01E-2</v>
      </c>
      <c r="J118" s="6">
        <f t="shared" si="10"/>
        <v>1.6979629876790924E-2</v>
      </c>
      <c r="K118" s="7">
        <f t="shared" si="11"/>
        <v>3.7420920437314598E-2</v>
      </c>
    </row>
    <row r="119" spans="1:11" x14ac:dyDescent="0.25">
      <c r="A119">
        <v>19964</v>
      </c>
      <c r="B119" s="5">
        <v>2.06E-2</v>
      </c>
      <c r="C119" s="6">
        <v>-2.0199999999999999E-2</v>
      </c>
      <c r="D119" s="7">
        <v>4.0000000000000002E-4</v>
      </c>
      <c r="I119" s="5">
        <f t="shared" si="9"/>
        <v>2.06E-2</v>
      </c>
      <c r="J119" s="6">
        <f t="shared" si="10"/>
        <v>-5.5936104061593259E-2</v>
      </c>
      <c r="K119" s="7">
        <f t="shared" si="11"/>
        <v>-3.648838780526209E-2</v>
      </c>
    </row>
    <row r="120" spans="1:11" x14ac:dyDescent="0.25">
      <c r="A120">
        <v>19963</v>
      </c>
      <c r="B120" s="5">
        <v>1.95E-2</v>
      </c>
      <c r="C120" s="6">
        <v>-2.0999999999999999E-3</v>
      </c>
      <c r="D120" s="7">
        <v>1.7399999999999999E-2</v>
      </c>
      <c r="I120" s="5">
        <f t="shared" si="9"/>
        <v>1.95E-2</v>
      </c>
      <c r="J120" s="6">
        <f t="shared" si="10"/>
        <v>5.9949185995874241E-3</v>
      </c>
      <c r="K120" s="7">
        <f t="shared" si="11"/>
        <v>2.5611819512279421E-2</v>
      </c>
    </row>
    <row r="121" spans="1:11" x14ac:dyDescent="0.25">
      <c r="A121">
        <v>19962</v>
      </c>
      <c r="B121" s="5">
        <v>1.9400000000000001E-2</v>
      </c>
      <c r="C121" s="6">
        <v>-6.1999999999999998E-3</v>
      </c>
      <c r="D121" s="7">
        <v>1.32E-2</v>
      </c>
      <c r="I121" s="5">
        <f t="shared" si="9"/>
        <v>1.9400000000000001E-2</v>
      </c>
      <c r="J121" s="6">
        <f t="shared" si="10"/>
        <v>-1.212311117042982E-2</v>
      </c>
      <c r="K121" s="7">
        <f t="shared" si="11"/>
        <v>7.0417004728637878E-3</v>
      </c>
    </row>
    <row r="122" spans="1:11" x14ac:dyDescent="0.25">
      <c r="A122">
        <v>19961</v>
      </c>
      <c r="B122" s="5">
        <v>0.02</v>
      </c>
      <c r="C122" s="6">
        <v>-3.2000000000000002E-3</v>
      </c>
      <c r="D122" s="7">
        <v>1.6799999999999999E-2</v>
      </c>
      <c r="I122" s="5">
        <f t="shared" si="9"/>
        <v>0.02</v>
      </c>
      <c r="J122" s="6">
        <f t="shared" si="10"/>
        <v>4.201308193428098E-2</v>
      </c>
      <c r="K122" s="7">
        <f t="shared" si="11"/>
        <v>6.2853343572966569E-2</v>
      </c>
    </row>
    <row r="123" spans="1:11" x14ac:dyDescent="0.25">
      <c r="A123">
        <v>19954</v>
      </c>
      <c r="B123" s="5">
        <v>2.0299999999999999E-2</v>
      </c>
      <c r="C123" s="6">
        <v>-2.6100000000000002E-2</v>
      </c>
      <c r="D123" s="7">
        <v>-5.7999999999999996E-3</v>
      </c>
      <c r="I123" s="5">
        <f t="shared" si="9"/>
        <v>2.0299999999999999E-2</v>
      </c>
      <c r="J123" s="6">
        <f t="shared" si="10"/>
        <v>-6.4995096685822498E-2</v>
      </c>
      <c r="K123" s="7">
        <f t="shared" si="11"/>
        <v>-4.6014497148544664E-2</v>
      </c>
    </row>
    <row r="124" spans="1:11" x14ac:dyDescent="0.25">
      <c r="A124">
        <v>19953</v>
      </c>
      <c r="B124" s="5">
        <v>1.95E-2</v>
      </c>
      <c r="C124" s="6">
        <v>-6.4000000000000003E-3</v>
      </c>
      <c r="D124" s="7">
        <v>1.32E-2</v>
      </c>
      <c r="I124" s="5">
        <f t="shared" si="9"/>
        <v>1.95E-2</v>
      </c>
      <c r="J124" s="6">
        <f t="shared" si="10"/>
        <v>-8.769244468171929E-3</v>
      </c>
      <c r="K124" s="7">
        <f t="shared" si="11"/>
        <v>1.0559755264698767E-2</v>
      </c>
    </row>
    <row r="125" spans="1:11" x14ac:dyDescent="0.25">
      <c r="A125">
        <v>19952</v>
      </c>
      <c r="B125" s="5">
        <v>1.9800000000000002E-2</v>
      </c>
      <c r="C125" s="6">
        <v>-5.1999999999999998E-3</v>
      </c>
      <c r="D125" s="7">
        <v>1.46E-2</v>
      </c>
      <c r="I125" s="5">
        <f t="shared" si="9"/>
        <v>1.9800000000000002E-2</v>
      </c>
      <c r="J125" s="6">
        <f t="shared" si="10"/>
        <v>-1.1517985248458476E-2</v>
      </c>
      <c r="K125" s="7">
        <f t="shared" si="11"/>
        <v>8.0539586436221278E-3</v>
      </c>
    </row>
    <row r="126" spans="1:11" x14ac:dyDescent="0.25">
      <c r="A126">
        <v>19951</v>
      </c>
      <c r="B126" s="5">
        <v>1.95E-2</v>
      </c>
      <c r="C126" s="6">
        <v>-2E-3</v>
      </c>
      <c r="D126" s="7">
        <v>1.7500000000000002E-2</v>
      </c>
      <c r="I126" s="5">
        <f t="shared" si="9"/>
        <v>1.95E-2</v>
      </c>
      <c r="J126" s="6">
        <f t="shared" si="10"/>
        <v>4.3179852484584768E-3</v>
      </c>
      <c r="K126" s="7">
        <f t="shared" si="11"/>
        <v>2.3902185960803513E-2</v>
      </c>
    </row>
    <row r="127" spans="1:11" x14ac:dyDescent="0.25">
      <c r="A127">
        <v>19944</v>
      </c>
      <c r="B127" s="5">
        <v>1.9699999999999999E-2</v>
      </c>
      <c r="C127" s="6">
        <v>-5.1999999999999998E-3</v>
      </c>
      <c r="D127" s="7">
        <v>1.4500000000000001E-2</v>
      </c>
      <c r="I127" s="5">
        <f t="shared" si="9"/>
        <v>1.9699999999999999E-2</v>
      </c>
      <c r="J127" s="6">
        <f t="shared" si="10"/>
        <v>-1.9810340887060227E-2</v>
      </c>
      <c r="K127" s="7">
        <f t="shared" si="11"/>
        <v>-5.0060460253531502E-4</v>
      </c>
    </row>
    <row r="128" spans="1:11" x14ac:dyDescent="0.25">
      <c r="A128">
        <v>19943</v>
      </c>
      <c r="B128" s="5">
        <v>1.8700000000000001E-2</v>
      </c>
      <c r="C128" s="6">
        <v>2.2000000000000001E-3</v>
      </c>
      <c r="D128" s="7">
        <v>2.0799999999999999E-2</v>
      </c>
      <c r="I128" s="5">
        <f t="shared" si="9"/>
        <v>1.8700000000000001E-2</v>
      </c>
      <c r="J128" s="6">
        <f t="shared" si="10"/>
        <v>1.7600089043117537E-2</v>
      </c>
      <c r="K128" s="7">
        <f t="shared" si="11"/>
        <v>3.6629210708223781E-2</v>
      </c>
    </row>
    <row r="129" spans="1:11" x14ac:dyDescent="0.25">
      <c r="A129">
        <v>19942</v>
      </c>
      <c r="B129" s="5">
        <v>1.8200000000000001E-2</v>
      </c>
      <c r="C129" s="6">
        <v>-5.5999999999999999E-3</v>
      </c>
      <c r="D129" s="7">
        <v>1.2699999999999999E-2</v>
      </c>
      <c r="I129" s="5">
        <f t="shared" si="9"/>
        <v>1.8200000000000001E-2</v>
      </c>
      <c r="J129" s="6">
        <f t="shared" si="10"/>
        <v>-3.0333184928137439E-3</v>
      </c>
      <c r="K129" s="7">
        <f t="shared" si="11"/>
        <v>1.5111475110616945E-2</v>
      </c>
    </row>
    <row r="130" spans="1:11" x14ac:dyDescent="0.25">
      <c r="A130">
        <v>19941</v>
      </c>
      <c r="B130" s="5">
        <v>1.77E-2</v>
      </c>
      <c r="C130" s="6">
        <v>-6.8999999999999999E-3</v>
      </c>
      <c r="D130" s="7">
        <v>1.0800000000000001E-2</v>
      </c>
      <c r="I130" s="5">
        <f t="shared" si="9"/>
        <v>1.77E-2</v>
      </c>
      <c r="J130" s="6">
        <f t="shared" si="10"/>
        <v>-8.4794963121146202E-3</v>
      </c>
      <c r="K130" s="7">
        <f t="shared" si="11"/>
        <v>9.0704166031609912E-3</v>
      </c>
    </row>
    <row r="131" spans="1:11" x14ac:dyDescent="0.25">
      <c r="A131">
        <v>19934</v>
      </c>
      <c r="B131" s="5">
        <v>1.83E-2</v>
      </c>
      <c r="C131" s="6">
        <v>-6.1000000000000004E-3</v>
      </c>
      <c r="D131" s="7">
        <v>1.2200000000000001E-2</v>
      </c>
      <c r="I131" s="5">
        <f t="shared" si="9"/>
        <v>1.83E-2</v>
      </c>
      <c r="J131" s="6">
        <f t="shared" si="10"/>
        <v>-1.458979267761608E-2</v>
      </c>
      <c r="K131" s="7">
        <f t="shared" si="11"/>
        <v>3.4432141163835972E-3</v>
      </c>
    </row>
    <row r="132" spans="1:11" x14ac:dyDescent="0.25">
      <c r="A132">
        <v>19933</v>
      </c>
      <c r="B132" s="5">
        <v>1.7299999999999999E-2</v>
      </c>
      <c r="C132" s="6">
        <v>-1.8E-3</v>
      </c>
      <c r="D132" s="7">
        <v>1.55E-2</v>
      </c>
      <c r="I132" s="5">
        <f t="shared" si="9"/>
        <v>1.7299999999999999E-2</v>
      </c>
      <c r="J132" s="6">
        <f t="shared" si="10"/>
        <v>8.8616001067736792E-3</v>
      </c>
      <c r="K132" s="7">
        <f t="shared" si="11"/>
        <v>2.6314905788620946E-2</v>
      </c>
    </row>
    <row r="133" spans="1:11" x14ac:dyDescent="0.25">
      <c r="A133">
        <v>19932</v>
      </c>
      <c r="B133" s="5">
        <v>1.7500000000000002E-2</v>
      </c>
      <c r="C133" s="6">
        <v>-7.1999999999999998E-3</v>
      </c>
      <c r="D133" s="7">
        <v>1.03E-2</v>
      </c>
      <c r="I133" s="5">
        <f t="shared" si="9"/>
        <v>1.7500000000000002E-2</v>
      </c>
      <c r="J133" s="6">
        <f t="shared" si="10"/>
        <v>-5.8179407268997068E-3</v>
      </c>
      <c r="K133" s="7">
        <f t="shared" si="11"/>
        <v>1.1580245310379711E-2</v>
      </c>
    </row>
    <row r="134" spans="1:11" x14ac:dyDescent="0.25">
      <c r="A134">
        <v>19931</v>
      </c>
      <c r="B134" s="5">
        <v>1.7500000000000002E-2</v>
      </c>
      <c r="C134" s="6">
        <v>-7.9000000000000008E-3</v>
      </c>
      <c r="D134" s="7">
        <v>9.4999999999999998E-3</v>
      </c>
      <c r="I134" s="5">
        <f t="shared" si="9"/>
        <v>1.7500000000000002E-2</v>
      </c>
      <c r="J134" s="6">
        <f t="shared" si="10"/>
        <v>4.4025941260768107E-2</v>
      </c>
      <c r="K134" s="7">
        <f t="shared" si="11"/>
        <v>6.2296395232831703E-2</v>
      </c>
    </row>
    <row r="135" spans="1:11" x14ac:dyDescent="0.25">
      <c r="A135">
        <v>19924</v>
      </c>
      <c r="B135" s="5">
        <v>1.72E-2</v>
      </c>
      <c r="C135" s="6">
        <v>-3.4200000000000001E-2</v>
      </c>
      <c r="D135" s="7">
        <v>-1.7000000000000001E-2</v>
      </c>
      <c r="I135" s="5">
        <f t="shared" ref="I135:I166" si="12">+B135</f>
        <v>1.72E-2</v>
      </c>
      <c r="J135" s="6">
        <f t="shared" ref="J135:J166" si="13">(C135-($C$2*C136))/(1-$C$2)</f>
        <v>-7.0528415178636242E-2</v>
      </c>
      <c r="K135" s="7">
        <f t="shared" ref="K135:K166" si="14">(1+I135)*(1+J135)-1</f>
        <v>-5.4541503919708689E-2</v>
      </c>
    </row>
    <row r="136" spans="1:11" x14ac:dyDescent="0.25">
      <c r="A136">
        <v>19923</v>
      </c>
      <c r="B136" s="5">
        <v>1.6500000000000001E-2</v>
      </c>
      <c r="C136" s="6">
        <v>-1.5800000000000002E-2</v>
      </c>
      <c r="D136" s="7">
        <v>6.9999999999999999E-4</v>
      </c>
      <c r="I136" s="5">
        <f t="shared" si="12"/>
        <v>1.6500000000000001E-2</v>
      </c>
      <c r="J136" s="6">
        <f t="shared" si="13"/>
        <v>-2.0247391786814179E-4</v>
      </c>
      <c r="K136" s="7">
        <f t="shared" si="14"/>
        <v>1.6294185262486938E-2</v>
      </c>
    </row>
    <row r="137" spans="1:11" x14ac:dyDescent="0.25">
      <c r="A137">
        <v>19922</v>
      </c>
      <c r="B137" s="5">
        <v>1.6299999999999999E-2</v>
      </c>
      <c r="C137" s="6">
        <v>-2.3699999999999999E-2</v>
      </c>
      <c r="D137" s="7">
        <v>-7.4999999999999997E-3</v>
      </c>
      <c r="I137" s="5">
        <f t="shared" si="12"/>
        <v>1.6299999999999999E-2</v>
      </c>
      <c r="J137" s="6">
        <f t="shared" si="13"/>
        <v>-4.0679585355232147E-2</v>
      </c>
      <c r="K137" s="7">
        <f t="shared" si="14"/>
        <v>-2.5042662596522547E-2</v>
      </c>
    </row>
    <row r="138" spans="1:11" x14ac:dyDescent="0.25">
      <c r="A138">
        <v>19921</v>
      </c>
      <c r="B138" s="5">
        <v>1.6400000000000001E-2</v>
      </c>
      <c r="C138" s="6">
        <v>-1.5100000000000001E-2</v>
      </c>
      <c r="D138" s="7">
        <v>1.1999999999999999E-3</v>
      </c>
      <c r="I138" s="5">
        <f t="shared" si="12"/>
        <v>1.6400000000000001E-2</v>
      </c>
      <c r="J138" s="6">
        <f t="shared" si="13"/>
        <v>5.8149141474315463E-2</v>
      </c>
      <c r="K138" s="7">
        <f t="shared" si="14"/>
        <v>7.5502787394494231E-2</v>
      </c>
    </row>
    <row r="139" spans="1:11" x14ac:dyDescent="0.25">
      <c r="A139">
        <v>19914</v>
      </c>
      <c r="B139" s="5">
        <v>1.55E-2</v>
      </c>
      <c r="C139" s="6">
        <v>-5.2200000000000003E-2</v>
      </c>
      <c r="D139" s="7">
        <v>-3.6700000000000003E-2</v>
      </c>
      <c r="I139" s="5">
        <f t="shared" si="12"/>
        <v>1.55E-2</v>
      </c>
      <c r="J139" s="6">
        <f t="shared" si="13"/>
        <v>-0.1335440600739029</v>
      </c>
      <c r="K139" s="7">
        <f t="shared" si="14"/>
        <v>-0.12011399300504833</v>
      </c>
    </row>
    <row r="140" spans="1:11" x14ac:dyDescent="0.25">
      <c r="A140">
        <v>19913</v>
      </c>
      <c r="B140" s="5">
        <v>1.4500000000000001E-2</v>
      </c>
      <c r="C140" s="6">
        <v>-1.0999999999999999E-2</v>
      </c>
      <c r="D140" s="7">
        <v>3.5000000000000001E-3</v>
      </c>
      <c r="I140" s="5">
        <f t="shared" si="12"/>
        <v>1.4500000000000001E-2</v>
      </c>
      <c r="J140" s="6">
        <f t="shared" si="13"/>
        <v>-1.4553866702257891E-2</v>
      </c>
      <c r="K140" s="7">
        <f t="shared" si="14"/>
        <v>-2.6489776944071952E-4</v>
      </c>
    </row>
    <row r="141" spans="1:11" x14ac:dyDescent="0.25">
      <c r="A141">
        <v>19912</v>
      </c>
      <c r="B141" s="5">
        <v>1.54E-2</v>
      </c>
      <c r="C141" s="6">
        <v>-9.1999999999999998E-3</v>
      </c>
      <c r="D141" s="7">
        <v>6.1999999999999998E-3</v>
      </c>
      <c r="I141" s="5">
        <f t="shared" si="12"/>
        <v>1.54E-2</v>
      </c>
      <c r="J141" s="6">
        <f t="shared" si="13"/>
        <v>-1.4925674131415493E-2</v>
      </c>
      <c r="K141" s="7">
        <f t="shared" si="14"/>
        <v>2.4447048696063511E-4</v>
      </c>
    </row>
    <row r="142" spans="1:11" x14ac:dyDescent="0.25">
      <c r="A142">
        <v>19911</v>
      </c>
      <c r="B142" s="5">
        <v>1.5299999999999999E-2</v>
      </c>
      <c r="C142" s="6">
        <v>-6.3E-3</v>
      </c>
      <c r="D142" s="7">
        <v>8.9999999999999993E-3</v>
      </c>
      <c r="I142" s="5">
        <f t="shared" si="12"/>
        <v>1.5299999999999999E-2</v>
      </c>
      <c r="J142" s="6">
        <f t="shared" si="13"/>
        <v>4.9539112238166641E-3</v>
      </c>
      <c r="K142" s="7">
        <f t="shared" si="14"/>
        <v>2.0329706065541187E-2</v>
      </c>
    </row>
    <row r="143" spans="1:11" x14ac:dyDescent="0.25">
      <c r="A143">
        <v>19904</v>
      </c>
      <c r="B143" s="5">
        <v>1.5599999999999999E-2</v>
      </c>
      <c r="C143" s="6">
        <v>-1.2E-2</v>
      </c>
      <c r="D143" s="7">
        <v>3.5000000000000001E-3</v>
      </c>
      <c r="I143" s="5">
        <f t="shared" si="12"/>
        <v>1.5599999999999999E-2</v>
      </c>
      <c r="J143" s="6">
        <f t="shared" si="13"/>
        <v>-3.3520637252561686E-2</v>
      </c>
      <c r="K143" s="7">
        <f t="shared" si="14"/>
        <v>-1.8443559193701664E-2</v>
      </c>
    </row>
    <row r="144" spans="1:11" x14ac:dyDescent="0.25">
      <c r="A144">
        <v>19903</v>
      </c>
      <c r="B144" s="5">
        <v>1.47E-2</v>
      </c>
      <c r="C144" s="6">
        <v>-1.1000000000000001E-3</v>
      </c>
      <c r="D144" s="7">
        <v>1.3599999999999999E-2</v>
      </c>
      <c r="I144" s="5">
        <f t="shared" si="12"/>
        <v>1.47E-2</v>
      </c>
      <c r="J144" s="6">
        <f t="shared" si="13"/>
        <v>-2.2818074291576017E-2</v>
      </c>
      <c r="K144" s="7">
        <f t="shared" si="14"/>
        <v>-8.4534999836621827E-3</v>
      </c>
    </row>
    <row r="145" spans="1:11" x14ac:dyDescent="0.25">
      <c r="A145">
        <v>19902</v>
      </c>
      <c r="B145" s="5">
        <v>1.52E-2</v>
      </c>
      <c r="C145" s="6">
        <v>9.9000000000000008E-3</v>
      </c>
      <c r="D145" s="7">
        <v>2.5000000000000001E-2</v>
      </c>
      <c r="I145" s="5">
        <f t="shared" si="12"/>
        <v>1.52E-2</v>
      </c>
      <c r="J145" s="6">
        <f t="shared" si="13"/>
        <v>2.7077022394246489E-2</v>
      </c>
      <c r="K145" s="7">
        <f t="shared" si="14"/>
        <v>4.2688593134639019E-2</v>
      </c>
    </row>
    <row r="146" spans="1:11" x14ac:dyDescent="0.25">
      <c r="A146">
        <v>19901</v>
      </c>
      <c r="B146" s="5">
        <v>1.5100000000000001E-2</v>
      </c>
      <c r="C146" s="6">
        <v>1.1999999999999999E-3</v>
      </c>
      <c r="D146" s="7">
        <v>1.6299999999999999E-2</v>
      </c>
      <c r="I146" s="5">
        <f t="shared" si="12"/>
        <v>1.5100000000000001E-2</v>
      </c>
      <c r="J146" s="6">
        <f t="shared" si="13"/>
        <v>-4.4407956012309631E-2</v>
      </c>
      <c r="K146" s="7">
        <f t="shared" si="14"/>
        <v>-2.9978516148095657E-2</v>
      </c>
    </row>
    <row r="147" spans="1:11" x14ac:dyDescent="0.25">
      <c r="A147">
        <v>19894</v>
      </c>
      <c r="B147" s="5">
        <v>1.5299999999999999E-2</v>
      </c>
      <c r="C147" s="6">
        <v>2.4299999999999999E-2</v>
      </c>
      <c r="D147" s="7">
        <v>3.9600000000000003E-2</v>
      </c>
      <c r="I147" s="5">
        <f t="shared" si="12"/>
        <v>1.5299999999999999E-2</v>
      </c>
      <c r="J147" s="6">
        <f t="shared" si="13"/>
        <v>4.9571940993833906E-2</v>
      </c>
      <c r="K147" s="7">
        <f t="shared" si="14"/>
        <v>6.563039169103968E-2</v>
      </c>
    </row>
    <row r="148" spans="1:11" x14ac:dyDescent="0.25">
      <c r="A148">
        <v>19893</v>
      </c>
      <c r="B148" s="5">
        <v>1.4500000000000001E-2</v>
      </c>
      <c r="C148" s="6">
        <v>1.15E-2</v>
      </c>
      <c r="D148" s="7">
        <v>2.5999999999999999E-2</v>
      </c>
      <c r="I148" s="5">
        <f t="shared" si="12"/>
        <v>1.4500000000000001E-2</v>
      </c>
      <c r="J148" s="6">
        <f t="shared" si="13"/>
        <v>5.3794517905558503E-3</v>
      </c>
      <c r="K148" s="7">
        <f t="shared" si="14"/>
        <v>1.9957453841518813E-2</v>
      </c>
    </row>
    <row r="149" spans="1:11" x14ac:dyDescent="0.25">
      <c r="A149">
        <v>19892</v>
      </c>
      <c r="B149" s="5">
        <v>1.55E-2</v>
      </c>
      <c r="C149" s="6">
        <v>1.46E-2</v>
      </c>
      <c r="D149" s="7">
        <v>3.0200000000000001E-2</v>
      </c>
      <c r="I149" s="5">
        <f t="shared" si="12"/>
        <v>1.55E-2</v>
      </c>
      <c r="J149" s="6">
        <f t="shared" si="13"/>
        <v>2.763084457494561E-2</v>
      </c>
      <c r="K149" s="7">
        <f t="shared" si="14"/>
        <v>4.3559122665857375E-2</v>
      </c>
    </row>
    <row r="150" spans="1:11" x14ac:dyDescent="0.25">
      <c r="A150">
        <v>19891</v>
      </c>
      <c r="B150" s="5">
        <v>1.61E-2</v>
      </c>
      <c r="C150" s="6">
        <v>8.0000000000000002E-3</v>
      </c>
      <c r="D150" s="7">
        <v>2.41E-2</v>
      </c>
      <c r="I150" s="5">
        <f t="shared" si="12"/>
        <v>1.61E-2</v>
      </c>
      <c r="J150" s="6">
        <f t="shared" si="13"/>
        <v>-7.0185067449673663E-2</v>
      </c>
      <c r="K150" s="7">
        <f t="shared" si="14"/>
        <v>-5.5215047035613418E-2</v>
      </c>
    </row>
    <row r="151" spans="1:11" x14ac:dyDescent="0.25">
      <c r="A151">
        <v>19884</v>
      </c>
      <c r="B151" s="5">
        <v>1.7299999999999999E-2</v>
      </c>
      <c r="C151" s="6">
        <v>4.7600000000000003E-2</v>
      </c>
      <c r="D151" s="7">
        <v>6.4899999999999999E-2</v>
      </c>
      <c r="I151" s="5">
        <f t="shared" si="12"/>
        <v>1.7299999999999999E-2</v>
      </c>
      <c r="J151" s="6">
        <f t="shared" si="13"/>
        <v>0.12124401555234414</v>
      </c>
      <c r="K151" s="7">
        <f t="shared" si="14"/>
        <v>0.14064153702139981</v>
      </c>
    </row>
    <row r="152" spans="1:11" x14ac:dyDescent="0.25">
      <c r="A152">
        <v>19883</v>
      </c>
      <c r="B152" s="5">
        <v>1.61E-2</v>
      </c>
      <c r="C152" s="6">
        <v>1.03E-2</v>
      </c>
      <c r="D152" s="7">
        <v>2.64E-2</v>
      </c>
      <c r="I152" s="5">
        <f t="shared" si="12"/>
        <v>1.61E-2</v>
      </c>
      <c r="J152" s="6">
        <f t="shared" si="13"/>
        <v>1.4153332443552667E-3</v>
      </c>
      <c r="K152" s="7">
        <f t="shared" si="14"/>
        <v>1.7538120109589217E-2</v>
      </c>
    </row>
    <row r="153" spans="1:11" x14ac:dyDescent="0.25">
      <c r="A153">
        <v>19882</v>
      </c>
      <c r="B153" s="5">
        <v>1.7100000000000001E-2</v>
      </c>
      <c r="C153" s="6">
        <v>1.4800000000000001E-2</v>
      </c>
      <c r="D153" s="7">
        <v>3.1899999999999998E-2</v>
      </c>
      <c r="I153" s="5">
        <f t="shared" si="12"/>
        <v>1.7100000000000001E-2</v>
      </c>
      <c r="J153" s="6">
        <f t="shared" si="13"/>
        <v>3.9677066915805255E-2</v>
      </c>
      <c r="K153" s="7">
        <f t="shared" si="14"/>
        <v>5.7455544760065536E-2</v>
      </c>
    </row>
    <row r="154" spans="1:11" x14ac:dyDescent="0.25">
      <c r="A154">
        <v>19881</v>
      </c>
      <c r="B154" s="5">
        <v>1.6899999999999998E-2</v>
      </c>
      <c r="C154" s="6">
        <v>2.2000000000000001E-3</v>
      </c>
      <c r="D154" s="7">
        <v>1.9099999999999999E-2</v>
      </c>
      <c r="I154" s="5">
        <f t="shared" si="12"/>
        <v>1.6899999999999998E-2</v>
      </c>
      <c r="J154" s="6">
        <f t="shared" si="13"/>
        <v>-5.7425985782326869E-2</v>
      </c>
      <c r="K154" s="7">
        <f t="shared" si="14"/>
        <v>-4.1496484942048273E-2</v>
      </c>
    </row>
    <row r="155" spans="1:11" x14ac:dyDescent="0.25">
      <c r="A155">
        <v>19874</v>
      </c>
      <c r="B155" s="5">
        <v>1.77E-2</v>
      </c>
      <c r="C155" s="6">
        <v>3.2399999999999998E-2</v>
      </c>
      <c r="D155" s="7">
        <v>5.0099999999999999E-2</v>
      </c>
      <c r="I155" s="5">
        <f t="shared" si="12"/>
        <v>1.77E-2</v>
      </c>
      <c r="J155" s="6">
        <f t="shared" si="13"/>
        <v>8.4523378299782431E-2</v>
      </c>
      <c r="K155" s="7">
        <f t="shared" si="14"/>
        <v>0.10371944209568862</v>
      </c>
    </row>
    <row r="156" spans="1:11" x14ac:dyDescent="0.25">
      <c r="A156">
        <v>19873</v>
      </c>
      <c r="B156" s="5">
        <v>1.6799999999999999E-2</v>
      </c>
      <c r="C156" s="6">
        <v>6.0000000000000001E-3</v>
      </c>
      <c r="D156" s="7">
        <v>2.2800000000000001E-2</v>
      </c>
      <c r="I156" s="5">
        <f t="shared" si="12"/>
        <v>1.6799999999999999E-2</v>
      </c>
      <c r="J156" s="6">
        <f t="shared" si="13"/>
        <v>2.7432586858450571E-4</v>
      </c>
      <c r="K156" s="7">
        <f t="shared" si="14"/>
        <v>1.7078934543176549E-2</v>
      </c>
    </row>
    <row r="157" spans="1:11" x14ac:dyDescent="0.25">
      <c r="A157">
        <v>19872</v>
      </c>
      <c r="B157" s="5">
        <v>1.6899999999999998E-2</v>
      </c>
      <c r="C157" s="6">
        <v>8.8999999999999999E-3</v>
      </c>
      <c r="D157" s="7">
        <v>2.5899999999999999E-2</v>
      </c>
      <c r="I157" s="5">
        <f t="shared" si="12"/>
        <v>1.6899999999999998E-2</v>
      </c>
      <c r="J157" s="6">
        <f t="shared" si="13"/>
        <v>2.2128281613959935E-2</v>
      </c>
      <c r="K157" s="7">
        <f t="shared" si="14"/>
        <v>3.9402249573235792E-2</v>
      </c>
    </row>
    <row r="158" spans="1:11" x14ac:dyDescent="0.25">
      <c r="A158">
        <v>19871</v>
      </c>
      <c r="B158" s="5">
        <v>1.77E-2</v>
      </c>
      <c r="C158" s="6">
        <v>2.2000000000000001E-3</v>
      </c>
      <c r="D158" s="7">
        <v>1.9900000000000001E-2</v>
      </c>
      <c r="I158" s="5">
        <f t="shared" si="12"/>
        <v>1.77E-2</v>
      </c>
      <c r="J158" s="6">
        <f t="shared" si="13"/>
        <v>-6.3743971030785343E-2</v>
      </c>
      <c r="K158" s="7">
        <f t="shared" si="14"/>
        <v>-4.7172239318030162E-2</v>
      </c>
    </row>
    <row r="159" spans="1:11" x14ac:dyDescent="0.25">
      <c r="A159">
        <v>19864</v>
      </c>
      <c r="B159" s="5">
        <v>1.7899999999999999E-2</v>
      </c>
      <c r="C159" s="6">
        <v>3.56E-2</v>
      </c>
      <c r="D159" s="7">
        <v>5.3499999999999999E-2</v>
      </c>
      <c r="I159" s="5">
        <f t="shared" si="12"/>
        <v>1.7899999999999999E-2</v>
      </c>
      <c r="J159" s="6">
        <f t="shared" si="13"/>
        <v>0.10016191175768506</v>
      </c>
      <c r="K159" s="7">
        <f t="shared" si="14"/>
        <v>0.11985480997814757</v>
      </c>
    </row>
    <row r="160" spans="1:11" x14ac:dyDescent="0.25">
      <c r="A160">
        <v>19863</v>
      </c>
      <c r="B160" s="5">
        <v>1.7600000000000001E-2</v>
      </c>
      <c r="C160" s="6">
        <v>2.8999999999999998E-3</v>
      </c>
      <c r="D160" s="7">
        <v>2.0500000000000001E-2</v>
      </c>
      <c r="I160" s="5">
        <f t="shared" si="12"/>
        <v>1.7600000000000001E-2</v>
      </c>
      <c r="J160" s="6">
        <f t="shared" si="13"/>
        <v>-5.7872297166304057E-3</v>
      </c>
      <c r="K160" s="7">
        <f t="shared" si="14"/>
        <v>1.1710915040356928E-2</v>
      </c>
    </row>
    <row r="161" spans="1:11" x14ac:dyDescent="0.25">
      <c r="A161">
        <v>19862</v>
      </c>
      <c r="B161" s="5">
        <v>1.8800000000000001E-2</v>
      </c>
      <c r="C161" s="6">
        <v>7.3000000000000001E-3</v>
      </c>
      <c r="D161" s="7">
        <v>2.6100000000000002E-2</v>
      </c>
      <c r="I161" s="5">
        <f t="shared" si="12"/>
        <v>1.8800000000000001E-2</v>
      </c>
      <c r="J161" s="6">
        <f t="shared" si="13"/>
        <v>1.8751348262830991E-2</v>
      </c>
      <c r="K161" s="7">
        <f t="shared" si="14"/>
        <v>3.7903873610172223E-2</v>
      </c>
    </row>
    <row r="162" spans="1:11" x14ac:dyDescent="0.25">
      <c r="A162">
        <v>19861</v>
      </c>
      <c r="B162" s="5">
        <v>1.8499999999999999E-2</v>
      </c>
      <c r="C162" s="6">
        <v>1.5E-3</v>
      </c>
      <c r="D162" s="7">
        <v>0.02</v>
      </c>
      <c r="I162" s="5">
        <f t="shared" si="12"/>
        <v>1.8499999999999999E-2</v>
      </c>
      <c r="J162" s="6">
        <f t="shared" si="13"/>
        <v>-7.8264563761788267E-2</v>
      </c>
      <c r="K162" s="7">
        <f t="shared" si="14"/>
        <v>-6.1212458191381325E-2</v>
      </c>
    </row>
    <row r="163" spans="1:11" x14ac:dyDescent="0.25">
      <c r="A163">
        <v>19854</v>
      </c>
      <c r="B163" s="5">
        <v>1.7399999999999999E-2</v>
      </c>
      <c r="C163" s="6">
        <v>4.19E-2</v>
      </c>
      <c r="D163" s="7">
        <v>5.9200000000000003E-2</v>
      </c>
      <c r="I163" s="5">
        <f t="shared" si="12"/>
        <v>1.7399999999999999E-2</v>
      </c>
      <c r="J163" s="6">
        <f t="shared" si="13"/>
        <v>0.12166456376178827</v>
      </c>
      <c r="K163" s="7">
        <f t="shared" si="14"/>
        <v>0.14118152717124355</v>
      </c>
    </row>
    <row r="164" spans="1:11" x14ac:dyDescent="0.25">
      <c r="A164">
        <v>19853</v>
      </c>
      <c r="B164" s="5">
        <v>1.8599999999999998E-2</v>
      </c>
      <c r="C164" s="6">
        <v>1.5E-3</v>
      </c>
      <c r="D164" s="7">
        <v>2.01E-2</v>
      </c>
      <c r="I164" s="5">
        <f t="shared" si="12"/>
        <v>1.8599999999999998E-2</v>
      </c>
      <c r="J164" s="6">
        <f t="shared" si="13"/>
        <v>-2.7523244735106128E-2</v>
      </c>
      <c r="K164" s="7">
        <f t="shared" si="14"/>
        <v>-9.4351770871791141E-3</v>
      </c>
    </row>
    <row r="165" spans="1:11" x14ac:dyDescent="0.25">
      <c r="A165">
        <v>19852</v>
      </c>
      <c r="B165" s="5">
        <v>1.9400000000000001E-2</v>
      </c>
      <c r="C165" s="6">
        <v>1.6199999999999999E-2</v>
      </c>
      <c r="D165" s="7">
        <v>3.56E-2</v>
      </c>
      <c r="I165" s="5">
        <f t="shared" si="12"/>
        <v>1.9400000000000001E-2</v>
      </c>
      <c r="J165" s="6">
        <f t="shared" si="13"/>
        <v>4.0484755798762269E-2</v>
      </c>
      <c r="K165" s="7">
        <f t="shared" si="14"/>
        <v>6.0670160061258249E-2</v>
      </c>
    </row>
    <row r="166" spans="1:11" x14ac:dyDescent="0.25">
      <c r="A166">
        <v>19851</v>
      </c>
      <c r="B166" s="5">
        <v>1.8499999999999999E-2</v>
      </c>
      <c r="C166" s="6">
        <v>3.8999999999999998E-3</v>
      </c>
      <c r="D166" s="7">
        <v>2.24E-2</v>
      </c>
      <c r="I166" s="5">
        <f t="shared" si="12"/>
        <v>1.8499999999999999E-2</v>
      </c>
      <c r="J166" s="6">
        <f t="shared" si="13"/>
        <v>-7.0731200747415762E-2</v>
      </c>
      <c r="K166" s="7">
        <f t="shared" si="14"/>
        <v>-5.3539727961243067E-2</v>
      </c>
    </row>
    <row r="167" spans="1:11" x14ac:dyDescent="0.25">
      <c r="A167">
        <v>19844</v>
      </c>
      <c r="B167" s="5">
        <v>2.0199999999999999E-2</v>
      </c>
      <c r="C167" s="6">
        <v>4.1700000000000001E-2</v>
      </c>
      <c r="D167" s="7">
        <v>6.1899999999999997E-2</v>
      </c>
      <c r="I167" s="5">
        <f t="shared" ref="I167:I194" si="15">+B167</f>
        <v>2.0199999999999999E-2</v>
      </c>
      <c r="J167" s="6">
        <f t="shared" ref="J167:J194" si="16">(C167-($C$2*C168))/(1-$C$2)</f>
        <v>0.10902603030388566</v>
      </c>
      <c r="K167" s="7">
        <f t="shared" ref="K167:K194" si="17">(1+I167)*(1+J167)-1</f>
        <v>0.1314283561160241</v>
      </c>
    </row>
    <row r="168" spans="1:11" x14ac:dyDescent="0.25">
      <c r="A168">
        <v>19843</v>
      </c>
      <c r="B168" s="5">
        <v>1.9599999999999999E-2</v>
      </c>
      <c r="C168" s="6">
        <v>7.6E-3</v>
      </c>
      <c r="D168" s="7">
        <v>2.7300000000000001E-2</v>
      </c>
      <c r="I168" s="5">
        <f t="shared" si="15"/>
        <v>1.9599999999999999E-2</v>
      </c>
      <c r="J168" s="6">
        <f t="shared" si="16"/>
        <v>7.0076888829570163E-3</v>
      </c>
      <c r="K168" s="7">
        <f t="shared" si="17"/>
        <v>2.6745039585063024E-2</v>
      </c>
    </row>
    <row r="169" spans="1:11" x14ac:dyDescent="0.25">
      <c r="A169">
        <v>19842</v>
      </c>
      <c r="B169" s="5">
        <v>1.8800000000000001E-2</v>
      </c>
      <c r="C169" s="6">
        <v>7.9000000000000008E-3</v>
      </c>
      <c r="D169" s="7">
        <v>2.6800000000000001E-2</v>
      </c>
      <c r="I169" s="5">
        <f t="shared" si="15"/>
        <v>1.8800000000000001E-2</v>
      </c>
      <c r="J169" s="6">
        <f t="shared" si="16"/>
        <v>-2.1123244735106121E-2</v>
      </c>
      <c r="K169" s="7">
        <f t="shared" si="17"/>
        <v>-2.720361736126109E-3</v>
      </c>
    </row>
    <row r="170" spans="1:11" x14ac:dyDescent="0.25">
      <c r="A170">
        <v>19841</v>
      </c>
      <c r="B170" s="5">
        <v>2.1000000000000001E-2</v>
      </c>
      <c r="C170" s="6">
        <v>2.2599999999999999E-2</v>
      </c>
      <c r="D170" s="7">
        <v>4.36E-2</v>
      </c>
      <c r="I170" s="5">
        <f t="shared" si="15"/>
        <v>2.1000000000000001E-2</v>
      </c>
      <c r="J170" s="6">
        <f t="shared" si="16"/>
        <v>-8.9500764270497319E-4</v>
      </c>
      <c r="K170" s="7">
        <f t="shared" si="17"/>
        <v>2.008619719679805E-2</v>
      </c>
    </row>
    <row r="171" spans="1:11" x14ac:dyDescent="0.25">
      <c r="A171">
        <v>19834</v>
      </c>
      <c r="B171" s="5">
        <v>0.02</v>
      </c>
      <c r="C171" s="6">
        <v>3.4500000000000003E-2</v>
      </c>
      <c r="D171" s="7">
        <v>5.45E-2</v>
      </c>
      <c r="I171" s="5">
        <f t="shared" si="15"/>
        <v>0.02</v>
      </c>
      <c r="J171" s="6">
        <f t="shared" si="16"/>
        <v>8.1095141207381274E-2</v>
      </c>
      <c r="K171" s="7">
        <f t="shared" si="17"/>
        <v>0.10271704403152881</v>
      </c>
    </row>
    <row r="172" spans="1:11" x14ac:dyDescent="0.25">
      <c r="A172">
        <v>19833</v>
      </c>
      <c r="B172" s="5">
        <v>2.01E-2</v>
      </c>
      <c r="C172" s="6">
        <v>1.09E-2</v>
      </c>
      <c r="D172" s="7">
        <v>3.1E-2</v>
      </c>
      <c r="I172" s="5">
        <f t="shared" si="15"/>
        <v>2.01E-2</v>
      </c>
      <c r="J172" s="6">
        <f t="shared" si="16"/>
        <v>1.8600044521558768E-2</v>
      </c>
      <c r="K172" s="7">
        <f t="shared" si="17"/>
        <v>3.9073905416442178E-2</v>
      </c>
    </row>
    <row r="173" spans="1:11" x14ac:dyDescent="0.25">
      <c r="A173">
        <v>19832</v>
      </c>
      <c r="B173" s="5">
        <v>0.02</v>
      </c>
      <c r="C173" s="6">
        <v>7.0000000000000001E-3</v>
      </c>
      <c r="D173" s="7">
        <v>2.7E-2</v>
      </c>
      <c r="I173" s="5">
        <f t="shared" si="15"/>
        <v>0.02</v>
      </c>
      <c r="J173" s="6">
        <f t="shared" si="16"/>
        <v>2.4571896472275138E-2</v>
      </c>
      <c r="K173" s="7">
        <f t="shared" si="17"/>
        <v>4.5063334401720834E-2</v>
      </c>
    </row>
    <row r="174" spans="1:11" x14ac:dyDescent="0.25">
      <c r="A174">
        <v>19831</v>
      </c>
      <c r="B174" s="5">
        <v>2.1499999999999998E-2</v>
      </c>
      <c r="C174" s="6">
        <v>-1.9E-3</v>
      </c>
      <c r="D174" s="7">
        <v>1.9599999999999999E-2</v>
      </c>
      <c r="I174" s="5">
        <f t="shared" si="15"/>
        <v>2.1499999999999998E-2</v>
      </c>
      <c r="J174" s="6">
        <f t="shared" si="16"/>
        <v>-1.2364163067759351E-2</v>
      </c>
      <c r="K174" s="7">
        <f t="shared" si="17"/>
        <v>8.8700074262839657E-3</v>
      </c>
    </row>
    <row r="175" spans="1:11" x14ac:dyDescent="0.25">
      <c r="A175">
        <v>19824</v>
      </c>
      <c r="B175" s="5">
        <v>2.3E-2</v>
      </c>
      <c r="C175" s="6">
        <v>3.3999999999999998E-3</v>
      </c>
      <c r="D175" s="7">
        <v>2.64E-2</v>
      </c>
      <c r="I175" s="5">
        <f t="shared" si="15"/>
        <v>2.3E-2</v>
      </c>
      <c r="J175" s="6">
        <f t="shared" si="16"/>
        <v>2.7487318759747945E-2</v>
      </c>
      <c r="K175" s="7">
        <f t="shared" si="17"/>
        <v>5.1119527091222139E-2</v>
      </c>
    </row>
    <row r="176" spans="1:11" x14ac:dyDescent="0.25">
      <c r="A176">
        <v>19823</v>
      </c>
      <c r="B176" s="5">
        <v>2.1000000000000001E-2</v>
      </c>
      <c r="C176" s="6">
        <v>-8.8000000000000005E-3</v>
      </c>
      <c r="D176" s="7">
        <v>1.2200000000000001E-2</v>
      </c>
      <c r="I176" s="5">
        <f t="shared" si="15"/>
        <v>2.1000000000000001E-2</v>
      </c>
      <c r="J176" s="6">
        <f t="shared" si="16"/>
        <v>-1.2551303741272222E-2</v>
      </c>
      <c r="K176" s="7">
        <f t="shared" si="17"/>
        <v>8.1851188801609354E-3</v>
      </c>
    </row>
    <row r="177" spans="1:11" x14ac:dyDescent="0.25">
      <c r="A177">
        <v>19822</v>
      </c>
      <c r="B177" s="5">
        <v>2.07E-2</v>
      </c>
      <c r="C177" s="6">
        <v>-6.8999999999999999E-3</v>
      </c>
      <c r="D177" s="7">
        <v>1.38E-2</v>
      </c>
      <c r="I177" s="5">
        <f t="shared" si="15"/>
        <v>2.07E-2</v>
      </c>
      <c r="J177" s="6">
        <f t="shared" si="16"/>
        <v>-1.2625674131415493E-2</v>
      </c>
      <c r="K177" s="7">
        <f t="shared" si="17"/>
        <v>7.8129744140642554E-3</v>
      </c>
    </row>
    <row r="178" spans="1:11" x14ac:dyDescent="0.25">
      <c r="A178">
        <v>19821</v>
      </c>
      <c r="B178" s="5">
        <v>0.02</v>
      </c>
      <c r="C178" s="6">
        <v>-4.0000000000000001E-3</v>
      </c>
      <c r="D178" s="7">
        <v>1.61E-2</v>
      </c>
      <c r="I178" s="5">
        <f t="shared" si="15"/>
        <v>0.02</v>
      </c>
      <c r="J178" s="6">
        <f t="shared" si="16"/>
        <v>-4.7041274505123368E-2</v>
      </c>
      <c r="K178" s="7">
        <f t="shared" si="17"/>
        <v>-2.7982099995225829E-2</v>
      </c>
    </row>
    <row r="179" spans="1:11" x14ac:dyDescent="0.25">
      <c r="A179">
        <v>19814</v>
      </c>
      <c r="B179" s="5">
        <v>0.02</v>
      </c>
      <c r="C179" s="6">
        <v>1.78E-2</v>
      </c>
      <c r="D179" s="7">
        <v>3.78E-2</v>
      </c>
      <c r="I179" s="5">
        <f t="shared" si="15"/>
        <v>0.02</v>
      </c>
      <c r="J179" s="6">
        <f t="shared" si="16"/>
        <v>3.7938577979461395E-2</v>
      </c>
      <c r="K179" s="7">
        <f t="shared" si="17"/>
        <v>5.8697349539050592E-2</v>
      </c>
    </row>
    <row r="180" spans="1:11" x14ac:dyDescent="0.25">
      <c r="A180">
        <v>19813</v>
      </c>
      <c r="B180" s="5">
        <v>1.9599999999999999E-2</v>
      </c>
      <c r="C180" s="6">
        <v>7.6E-3</v>
      </c>
      <c r="D180" s="7">
        <v>2.7099999999999999E-2</v>
      </c>
      <c r="I180" s="5">
        <f t="shared" si="15"/>
        <v>1.9599999999999999E-2</v>
      </c>
      <c r="J180" s="6">
        <f t="shared" si="16"/>
        <v>1.2338488936343857E-2</v>
      </c>
      <c r="K180" s="7">
        <f t="shared" si="17"/>
        <v>3.2180323319496162E-2</v>
      </c>
    </row>
    <row r="181" spans="1:11" x14ac:dyDescent="0.25">
      <c r="A181">
        <v>19812</v>
      </c>
      <c r="B181" s="5">
        <v>2.0799999999999999E-2</v>
      </c>
      <c r="C181" s="6">
        <v>5.1999999999999998E-3</v>
      </c>
      <c r="D181" s="7">
        <v>2.5999999999999999E-2</v>
      </c>
      <c r="I181" s="5">
        <f t="shared" si="15"/>
        <v>2.0799999999999999E-2</v>
      </c>
      <c r="J181" s="6">
        <f t="shared" si="16"/>
        <v>2.5930889096504376E-2</v>
      </c>
      <c r="K181" s="7">
        <f t="shared" si="17"/>
        <v>4.7270251589711654E-2</v>
      </c>
    </row>
    <row r="182" spans="1:11" x14ac:dyDescent="0.25">
      <c r="A182">
        <v>19811</v>
      </c>
      <c r="B182" s="5">
        <v>2.0500000000000001E-2</v>
      </c>
      <c r="C182" s="6">
        <v>-5.3E-3</v>
      </c>
      <c r="D182" s="7">
        <v>1.52E-2</v>
      </c>
      <c r="I182" s="5">
        <f t="shared" si="15"/>
        <v>2.0500000000000001E-2</v>
      </c>
      <c r="J182" s="6">
        <f t="shared" si="16"/>
        <v>-5.2092578246395592E-2</v>
      </c>
      <c r="K182" s="7">
        <f t="shared" si="17"/>
        <v>-3.2660476100446756E-2</v>
      </c>
    </row>
    <row r="183" spans="1:11" x14ac:dyDescent="0.25">
      <c r="A183">
        <v>19804</v>
      </c>
      <c r="B183" s="5">
        <v>2.0799999999999999E-2</v>
      </c>
      <c r="C183" s="6">
        <v>1.84E-2</v>
      </c>
      <c r="D183" s="7">
        <v>3.9300000000000002E-2</v>
      </c>
      <c r="I183" s="5">
        <f t="shared" si="15"/>
        <v>2.0799999999999999E-2</v>
      </c>
      <c r="J183" s="6">
        <f t="shared" si="16"/>
        <v>2.3730800053386843E-2</v>
      </c>
      <c r="K183" s="7">
        <f t="shared" si="17"/>
        <v>4.5024400694497313E-2</v>
      </c>
    </row>
    <row r="184" spans="1:11" x14ac:dyDescent="0.25">
      <c r="A184">
        <v>19803</v>
      </c>
      <c r="B184" s="5">
        <v>1.9800000000000002E-2</v>
      </c>
      <c r="C184" s="6">
        <v>1.5699999999999999E-2</v>
      </c>
      <c r="D184" s="7">
        <v>3.5499999999999997E-2</v>
      </c>
      <c r="I184" s="5">
        <f t="shared" si="15"/>
        <v>1.9800000000000002E-2</v>
      </c>
      <c r="J184" s="6">
        <f t="shared" si="16"/>
        <v>3.9195007642704956E-2</v>
      </c>
      <c r="K184" s="7">
        <f t="shared" si="17"/>
        <v>5.9771068794030713E-2</v>
      </c>
    </row>
    <row r="185" spans="1:11" x14ac:dyDescent="0.25">
      <c r="A185">
        <v>19802</v>
      </c>
      <c r="B185" s="5">
        <v>0.02</v>
      </c>
      <c r="C185" s="6">
        <v>3.8E-3</v>
      </c>
      <c r="D185" s="7">
        <v>2.3699999999999999E-2</v>
      </c>
      <c r="I185" s="5">
        <f t="shared" si="15"/>
        <v>0.02</v>
      </c>
      <c r="J185" s="6">
        <f t="shared" si="16"/>
        <v>4.1948740780286551E-3</v>
      </c>
      <c r="K185" s="7">
        <f t="shared" si="17"/>
        <v>2.4278771559589352E-2</v>
      </c>
    </row>
    <row r="186" spans="1:11" x14ac:dyDescent="0.25">
      <c r="A186">
        <v>19801</v>
      </c>
      <c r="B186" s="5">
        <v>2.01E-2</v>
      </c>
      <c r="C186" s="6">
        <v>3.5999999999999999E-3</v>
      </c>
      <c r="D186" s="7">
        <v>2.3699999999999999E-2</v>
      </c>
      <c r="I186" s="5">
        <f t="shared" si="15"/>
        <v>2.01E-2</v>
      </c>
      <c r="J186" s="6">
        <f t="shared" si="16"/>
        <v>-3.1543792944550279E-2</v>
      </c>
      <c r="K186" s="7">
        <f t="shared" si="17"/>
        <v>-1.2077823182735647E-2</v>
      </c>
    </row>
    <row r="187" spans="1:11" x14ac:dyDescent="0.25">
      <c r="A187">
        <v>19794</v>
      </c>
      <c r="B187" s="5">
        <v>2.2599999999999999E-2</v>
      </c>
      <c r="C187" s="6">
        <v>2.1399999999999999E-2</v>
      </c>
      <c r="D187" s="7">
        <v>4.3999999999999997E-2</v>
      </c>
      <c r="I187" s="5">
        <f t="shared" si="15"/>
        <v>2.2599999999999999E-2</v>
      </c>
      <c r="J187" s="6">
        <f t="shared" si="16"/>
        <v>5.3779674398349686E-2</v>
      </c>
      <c r="K187" s="7">
        <f t="shared" si="17"/>
        <v>7.7595095039752371E-2</v>
      </c>
    </row>
    <row r="188" spans="1:11" x14ac:dyDescent="0.25">
      <c r="A188">
        <v>19793</v>
      </c>
      <c r="B188" s="5">
        <v>0.02</v>
      </c>
      <c r="C188" s="6">
        <v>5.0000000000000001E-3</v>
      </c>
      <c r="D188" s="7">
        <v>2.5000000000000001E-2</v>
      </c>
      <c r="I188" s="5">
        <f t="shared" si="15"/>
        <v>0.02</v>
      </c>
      <c r="J188" s="6">
        <f t="shared" si="16"/>
        <v>3.0271940993833912E-2</v>
      </c>
      <c r="K188" s="7">
        <f t="shared" si="17"/>
        <v>5.0877379813710544E-2</v>
      </c>
    </row>
    <row r="189" spans="1:11" x14ac:dyDescent="0.25">
      <c r="A189">
        <v>19792</v>
      </c>
      <c r="B189" s="5">
        <v>2.3400000000000001E-2</v>
      </c>
      <c r="C189" s="6">
        <v>-7.7999999999999996E-3</v>
      </c>
      <c r="D189" s="7">
        <v>1.5599999999999999E-2</v>
      </c>
      <c r="I189" s="5">
        <f t="shared" si="15"/>
        <v>2.3400000000000001E-2</v>
      </c>
      <c r="J189" s="6">
        <f t="shared" si="16"/>
        <v>-3.0307822447633321E-2</v>
      </c>
      <c r="K189" s="7">
        <f t="shared" si="17"/>
        <v>-7.6170254929078807E-3</v>
      </c>
    </row>
    <row r="190" spans="1:11" x14ac:dyDescent="0.25">
      <c r="A190">
        <v>19791</v>
      </c>
      <c r="B190" s="5">
        <v>0.02</v>
      </c>
      <c r="C190" s="6">
        <v>3.5999999999999999E-3</v>
      </c>
      <c r="D190" s="7">
        <v>2.3599999999999999E-2</v>
      </c>
      <c r="I190" s="5">
        <f t="shared" si="15"/>
        <v>0.02</v>
      </c>
      <c r="J190" s="6">
        <f t="shared" si="16"/>
        <v>-1.9282370924011689E-3</v>
      </c>
      <c r="K190" s="7">
        <f t="shared" si="17"/>
        <v>1.8033198165750886E-2</v>
      </c>
    </row>
    <row r="191" spans="1:11" x14ac:dyDescent="0.25">
      <c r="A191">
        <v>19784</v>
      </c>
      <c r="B191" s="5">
        <v>1.9199999999999998E-2</v>
      </c>
      <c r="C191" s="6">
        <v>6.4000000000000003E-3</v>
      </c>
      <c r="D191" s="7">
        <v>2.5600000000000001E-2</v>
      </c>
      <c r="I191" s="5">
        <f t="shared" si="15"/>
        <v>1.9199999999999998E-2</v>
      </c>
      <c r="J191" s="6">
        <f t="shared" si="16"/>
        <v>6.0051259219713457E-3</v>
      </c>
      <c r="K191" s="7">
        <f t="shared" si="17"/>
        <v>2.5320424339673187E-2</v>
      </c>
    </row>
    <row r="192" spans="1:11" x14ac:dyDescent="0.25">
      <c r="A192">
        <v>19783</v>
      </c>
      <c r="B192" s="5">
        <v>2.0500000000000001E-2</v>
      </c>
      <c r="C192" s="6">
        <v>6.6E-3</v>
      </c>
      <c r="D192" s="7">
        <v>2.7099999999999999E-2</v>
      </c>
      <c r="I192" s="5">
        <f t="shared" si="15"/>
        <v>2.0500000000000001E-2</v>
      </c>
      <c r="J192" s="6">
        <f t="shared" si="16"/>
        <v>1.2917985248458478E-2</v>
      </c>
      <c r="K192" s="7">
        <f t="shared" si="17"/>
        <v>3.368280394605172E-2</v>
      </c>
    </row>
    <row r="193" spans="1:11" x14ac:dyDescent="0.25">
      <c r="A193">
        <v>19782</v>
      </c>
      <c r="B193" s="5">
        <v>2.12E-2</v>
      </c>
      <c r="C193" s="6">
        <v>3.3999999999999998E-3</v>
      </c>
      <c r="D193" s="7">
        <v>2.46E-2</v>
      </c>
      <c r="I193" s="5">
        <f t="shared" si="15"/>
        <v>2.12E-2</v>
      </c>
      <c r="J193" s="6">
        <f t="shared" si="16"/>
        <v>-4.3000445215587687E-3</v>
      </c>
      <c r="K193" s="7">
        <f t="shared" si="17"/>
        <v>1.6808794534584282E-2</v>
      </c>
    </row>
    <row r="194" spans="1:11" x14ac:dyDescent="0.25">
      <c r="A194">
        <v>19781</v>
      </c>
      <c r="B194" s="8">
        <v>2.0500000000000001E-2</v>
      </c>
      <c r="C194" s="9">
        <v>7.3000000000000001E-3</v>
      </c>
      <c r="D194" s="10">
        <v>2.7799999999999998E-2</v>
      </c>
      <c r="I194" s="8">
        <f t="shared" si="15"/>
        <v>2.0500000000000001E-2</v>
      </c>
      <c r="J194" s="9">
        <f t="shared" si="16"/>
        <v>2.17129038480459E-2</v>
      </c>
      <c r="K194" s="10">
        <f t="shared" si="17"/>
        <v>4.2658018376930729E-2</v>
      </c>
    </row>
  </sheetData>
  <mergeCells count="8">
    <mergeCell ref="M4:N4"/>
    <mergeCell ref="M3:N3"/>
    <mergeCell ref="A1:B1"/>
    <mergeCell ref="A2:B2"/>
    <mergeCell ref="B5:D5"/>
    <mergeCell ref="F3:G3"/>
    <mergeCell ref="F4:G4"/>
    <mergeCell ref="I5:K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8"/>
  <sheetViews>
    <sheetView workbookViewId="0">
      <selection sqref="A1:B1"/>
    </sheetView>
  </sheetViews>
  <sheetFormatPr defaultRowHeight="15" x14ac:dyDescent="0.25"/>
  <cols>
    <col min="1" max="4" width="12.7109375" customWidth="1"/>
    <col min="5" max="5" width="4.7109375" customWidth="1"/>
    <col min="6" max="7" width="12.7109375" customWidth="1"/>
    <col min="8" max="8" width="4.7109375" customWidth="1"/>
    <col min="9" max="11" width="12.7109375" customWidth="1"/>
    <col min="12" max="12" width="4.7109375" customWidth="1"/>
    <col min="13" max="15" width="12.7109375" customWidth="1"/>
  </cols>
  <sheetData>
    <row r="1" spans="1:14" x14ac:dyDescent="0.25">
      <c r="A1" s="41" t="s">
        <v>17</v>
      </c>
      <c r="B1" s="40"/>
      <c r="C1" s="15" t="s">
        <v>14</v>
      </c>
    </row>
    <row r="2" spans="1:14" x14ac:dyDescent="0.25">
      <c r="A2" s="39" t="s">
        <v>18</v>
      </c>
      <c r="B2" s="40"/>
      <c r="C2" s="18">
        <f>CORREL(C7:C27,C9:C29)</f>
        <v>0.35923676403689803</v>
      </c>
    </row>
    <row r="3" spans="1:14" x14ac:dyDescent="0.25">
      <c r="F3" s="36" t="s">
        <v>1</v>
      </c>
      <c r="G3" s="35"/>
      <c r="M3" s="36" t="s">
        <v>19</v>
      </c>
      <c r="N3" s="35"/>
    </row>
    <row r="4" spans="1:14" x14ac:dyDescent="0.25">
      <c r="F4" s="37">
        <f>STDEV(D7:D29)*SQRT(4)</f>
        <v>3.9474835131962878E-2</v>
      </c>
      <c r="G4" s="38"/>
      <c r="M4" s="42">
        <f>STDEV(K7:K29)*SQRT(4)</f>
        <v>6.1603622146780813E-2</v>
      </c>
      <c r="N4" s="38"/>
    </row>
    <row r="5" spans="1:14" x14ac:dyDescent="0.25">
      <c r="B5" s="33" t="s">
        <v>20</v>
      </c>
      <c r="C5" s="34"/>
      <c r="D5" s="35"/>
      <c r="I5" s="33" t="s">
        <v>21</v>
      </c>
      <c r="J5" s="34"/>
      <c r="K5" s="35"/>
    </row>
    <row r="6" spans="1:14" x14ac:dyDescent="0.25">
      <c r="B6" s="2" t="s">
        <v>22</v>
      </c>
      <c r="C6" s="3" t="s">
        <v>23</v>
      </c>
      <c r="D6" s="4" t="s">
        <v>24</v>
      </c>
      <c r="I6" s="12" t="s">
        <v>22</v>
      </c>
      <c r="J6" s="13" t="s">
        <v>23</v>
      </c>
      <c r="K6" s="14" t="s">
        <v>24</v>
      </c>
    </row>
    <row r="7" spans="1:14" x14ac:dyDescent="0.25">
      <c r="A7">
        <v>20244</v>
      </c>
      <c r="B7" s="5">
        <v>7.4000000000000003E-3</v>
      </c>
      <c r="C7" s="6">
        <v>1.7999999999999999E-2</v>
      </c>
      <c r="D7" s="7">
        <v>2.53E-2</v>
      </c>
      <c r="I7" s="5">
        <f t="shared" ref="I7:I29" si="0">+B7</f>
        <v>7.4000000000000003E-3</v>
      </c>
      <c r="J7" s="6">
        <f t="shared" ref="J7:J29" si="1">(C7-($C$2*C8))/(1-$C$2)</f>
        <v>-1.2859764563348149E-3</v>
      </c>
      <c r="K7" s="7">
        <f t="shared" ref="K7:K29" si="2">(1+I7)*(1+J7)-1</f>
        <v>6.1045073178884746E-3</v>
      </c>
    </row>
    <row r="8" spans="1:14" x14ac:dyDescent="0.25">
      <c r="A8">
        <v>20243</v>
      </c>
      <c r="B8" s="5">
        <v>3.5000000000000001E-3</v>
      </c>
      <c r="C8" s="6">
        <v>5.2400000000000002E-2</v>
      </c>
      <c r="D8" s="7">
        <v>5.5899999999999998E-2</v>
      </c>
      <c r="I8" s="5">
        <f t="shared" si="0"/>
        <v>3.5000000000000001E-3</v>
      </c>
      <c r="J8" s="6">
        <f t="shared" si="1"/>
        <v>8.547769217801611E-2</v>
      </c>
      <c r="K8" s="7">
        <f t="shared" si="2"/>
        <v>8.9276864100639175E-2</v>
      </c>
    </row>
    <row r="9" spans="1:14" x14ac:dyDescent="0.25">
      <c r="A9">
        <v>20242</v>
      </c>
      <c r="B9" s="5">
        <v>8.3999999999999995E-3</v>
      </c>
      <c r="C9" s="6">
        <v>-6.6E-3</v>
      </c>
      <c r="D9" s="7">
        <v>1.9E-3</v>
      </c>
      <c r="I9" s="5">
        <f t="shared" si="0"/>
        <v>8.3999999999999995E-3</v>
      </c>
      <c r="J9" s="6">
        <f t="shared" si="1"/>
        <v>-1.8821926940351716E-2</v>
      </c>
      <c r="K9" s="7">
        <f t="shared" si="2"/>
        <v>-1.0580031126650624E-2</v>
      </c>
    </row>
    <row r="10" spans="1:14" x14ac:dyDescent="0.25">
      <c r="A10">
        <v>20241</v>
      </c>
      <c r="B10" s="5">
        <v>1.12E-2</v>
      </c>
      <c r="C10" s="6">
        <v>1.52E-2</v>
      </c>
      <c r="D10" s="7">
        <v>2.6499999999999999E-2</v>
      </c>
      <c r="I10" s="5">
        <f t="shared" si="0"/>
        <v>1.12E-2</v>
      </c>
      <c r="J10" s="6">
        <f t="shared" si="1"/>
        <v>2.8991715721681296E-2</v>
      </c>
      <c r="K10" s="7">
        <f t="shared" si="2"/>
        <v>4.051642293776414E-2</v>
      </c>
    </row>
    <row r="11" spans="1:14" x14ac:dyDescent="0.25">
      <c r="A11">
        <v>20234</v>
      </c>
      <c r="B11" s="5">
        <v>1.21E-2</v>
      </c>
      <c r="C11" s="6">
        <v>-9.4000000000000004E-3</v>
      </c>
      <c r="D11" s="7">
        <v>2.7000000000000001E-3</v>
      </c>
      <c r="I11" s="5">
        <f t="shared" si="0"/>
        <v>1.21E-2</v>
      </c>
      <c r="J11" s="6">
        <f t="shared" si="1"/>
        <v>-1.2875960872944065E-2</v>
      </c>
      <c r="K11" s="7">
        <f t="shared" si="2"/>
        <v>-9.317599995066761E-4</v>
      </c>
    </row>
    <row r="12" spans="1:14" x14ac:dyDescent="0.25">
      <c r="A12">
        <v>20233</v>
      </c>
      <c r="B12" s="5">
        <v>1.04E-2</v>
      </c>
      <c r="C12" s="6">
        <v>-3.2000000000000002E-3</v>
      </c>
      <c r="D12" s="7">
        <v>7.1000000000000004E-3</v>
      </c>
      <c r="I12" s="5">
        <f t="shared" si="0"/>
        <v>1.04E-2</v>
      </c>
      <c r="J12" s="6">
        <f t="shared" si="1"/>
        <v>-3.4242555401899403E-3</v>
      </c>
      <c r="K12" s="7">
        <f t="shared" si="2"/>
        <v>6.9401322021920286E-3</v>
      </c>
    </row>
    <row r="13" spans="1:14" x14ac:dyDescent="0.25">
      <c r="A13">
        <v>20232</v>
      </c>
      <c r="B13" s="5">
        <v>1.0999999999999999E-2</v>
      </c>
      <c r="C13" s="6">
        <v>-2.8E-3</v>
      </c>
      <c r="D13" s="7">
        <v>8.2000000000000007E-3</v>
      </c>
      <c r="I13" s="5">
        <f t="shared" si="0"/>
        <v>1.0999999999999999E-2</v>
      </c>
      <c r="J13" s="6">
        <f t="shared" si="1"/>
        <v>-6.0517053327541256E-3</v>
      </c>
      <c r="K13" s="7">
        <f t="shared" si="2"/>
        <v>4.881725908585377E-3</v>
      </c>
    </row>
    <row r="14" spans="1:14" x14ac:dyDescent="0.25">
      <c r="A14">
        <v>20231</v>
      </c>
      <c r="B14" s="5">
        <v>1.11E-2</v>
      </c>
      <c r="C14" s="6">
        <v>3.0000000000000001E-3</v>
      </c>
      <c r="D14" s="7">
        <v>1.41E-2</v>
      </c>
      <c r="I14" s="5">
        <f t="shared" si="0"/>
        <v>1.11E-2</v>
      </c>
      <c r="J14" s="6">
        <f t="shared" si="1"/>
        <v>2.1669273720812482E-2</v>
      </c>
      <c r="K14" s="7">
        <f t="shared" si="2"/>
        <v>3.3009802659113463E-2</v>
      </c>
    </row>
    <row r="15" spans="1:14" x14ac:dyDescent="0.25">
      <c r="A15">
        <v>20224</v>
      </c>
      <c r="B15" s="5">
        <v>1.09E-2</v>
      </c>
      <c r="C15" s="6">
        <v>-3.0300000000000001E-2</v>
      </c>
      <c r="D15" s="7">
        <v>-1.9400000000000001E-2</v>
      </c>
      <c r="I15" s="5">
        <f t="shared" si="0"/>
        <v>1.09E-2</v>
      </c>
      <c r="J15" s="6">
        <f t="shared" si="1"/>
        <v>-5.0426934732047096E-2</v>
      </c>
      <c r="K15" s="7">
        <f t="shared" si="2"/>
        <v>-4.0076588320626438E-2</v>
      </c>
    </row>
    <row r="16" spans="1:14" x14ac:dyDescent="0.25">
      <c r="A16">
        <v>20223</v>
      </c>
      <c r="B16" s="5">
        <v>1.06E-2</v>
      </c>
      <c r="C16" s="6">
        <v>5.5999999999999999E-3</v>
      </c>
      <c r="D16" s="7">
        <v>1.6299999999999999E-2</v>
      </c>
      <c r="I16" s="5">
        <f t="shared" si="0"/>
        <v>1.06E-2</v>
      </c>
      <c r="J16" s="6">
        <f t="shared" si="1"/>
        <v>7.7304276318044271E-3</v>
      </c>
      <c r="K16" s="7">
        <f t="shared" si="2"/>
        <v>1.841237016470143E-2</v>
      </c>
    </row>
    <row r="17" spans="1:11" x14ac:dyDescent="0.25">
      <c r="A17">
        <v>20222</v>
      </c>
      <c r="B17" s="5">
        <v>1.3100000000000001E-2</v>
      </c>
      <c r="C17" s="6">
        <v>1.8E-3</v>
      </c>
      <c r="D17" s="7">
        <v>1.49E-2</v>
      </c>
      <c r="I17" s="5">
        <f t="shared" si="0"/>
        <v>1.3100000000000001E-2</v>
      </c>
      <c r="J17" s="6">
        <f t="shared" si="1"/>
        <v>-9.4127770094969854E-3</v>
      </c>
      <c r="K17" s="7">
        <f t="shared" si="2"/>
        <v>3.5639156116786808E-3</v>
      </c>
    </row>
    <row r="18" spans="1:11" x14ac:dyDescent="0.25">
      <c r="A18">
        <v>20221</v>
      </c>
      <c r="B18" s="5">
        <v>1.2500000000000001E-2</v>
      </c>
      <c r="C18" s="6">
        <v>2.18E-2</v>
      </c>
      <c r="D18" s="7">
        <v>3.4299999999999997E-2</v>
      </c>
      <c r="I18" s="5">
        <f t="shared" si="0"/>
        <v>1.2500000000000001E-2</v>
      </c>
      <c r="J18" s="6">
        <f t="shared" si="1"/>
        <v>3.1274796573024954E-2</v>
      </c>
      <c r="K18" s="7">
        <f t="shared" si="2"/>
        <v>4.4165731530187768E-2</v>
      </c>
    </row>
    <row r="19" spans="1:11" x14ac:dyDescent="0.25">
      <c r="A19">
        <v>20214</v>
      </c>
      <c r="B19" s="5">
        <v>1.14E-2</v>
      </c>
      <c r="C19" s="6">
        <v>4.8999999999999998E-3</v>
      </c>
      <c r="D19" s="7">
        <v>1.6299999999999999E-2</v>
      </c>
      <c r="I19" s="5">
        <f t="shared" si="0"/>
        <v>1.14E-2</v>
      </c>
      <c r="J19" s="6">
        <f t="shared" si="1"/>
        <v>-1.3264698755385116E-2</v>
      </c>
      <c r="K19" s="7">
        <f t="shared" si="2"/>
        <v>-2.0159163211964648E-3</v>
      </c>
    </row>
    <row r="20" spans="1:11" x14ac:dyDescent="0.25">
      <c r="A20">
        <v>20213</v>
      </c>
      <c r="B20" s="5">
        <v>1.1599999999999999E-2</v>
      </c>
      <c r="C20" s="6">
        <v>3.73E-2</v>
      </c>
      <c r="D20" s="7">
        <v>4.8899999999999999E-2</v>
      </c>
      <c r="I20" s="5">
        <f t="shared" si="0"/>
        <v>1.1599999999999999E-2</v>
      </c>
      <c r="J20" s="6">
        <f t="shared" si="1"/>
        <v>2.7713075656880085E-2</v>
      </c>
      <c r="K20" s="7">
        <f t="shared" si="2"/>
        <v>3.9634547334500114E-2</v>
      </c>
    </row>
    <row r="21" spans="1:11" x14ac:dyDescent="0.25">
      <c r="A21">
        <v>20212</v>
      </c>
      <c r="B21" s="5">
        <v>1.21E-2</v>
      </c>
      <c r="C21" s="6">
        <v>5.4399999999999997E-2</v>
      </c>
      <c r="D21" s="7">
        <v>6.6500000000000004E-2</v>
      </c>
      <c r="I21" s="5">
        <f t="shared" si="0"/>
        <v>1.21E-2</v>
      </c>
      <c r="J21" s="6">
        <f t="shared" si="1"/>
        <v>7.553608466290182E-2</v>
      </c>
      <c r="K21" s="7">
        <f t="shared" si="2"/>
        <v>8.8550071287323062E-2</v>
      </c>
    </row>
    <row r="22" spans="1:11" x14ac:dyDescent="0.25">
      <c r="A22">
        <v>20211</v>
      </c>
      <c r="B22" s="5">
        <v>1.1299999999999999E-2</v>
      </c>
      <c r="C22" s="6">
        <v>1.67E-2</v>
      </c>
      <c r="D22" s="7">
        <v>2.81E-2</v>
      </c>
      <c r="I22" s="5">
        <f t="shared" si="0"/>
        <v>1.1299999999999999E-2</v>
      </c>
      <c r="J22" s="6">
        <f t="shared" si="1"/>
        <v>1.5627510371790715E-3</v>
      </c>
      <c r="K22" s="7">
        <f t="shared" si="2"/>
        <v>1.2880410123899289E-2</v>
      </c>
    </row>
    <row r="23" spans="1:11" x14ac:dyDescent="0.25">
      <c r="A23">
        <v>20204</v>
      </c>
      <c r="B23" s="5">
        <v>1.15E-2</v>
      </c>
      <c r="C23" s="6">
        <v>4.3700000000000003E-2</v>
      </c>
      <c r="D23" s="7">
        <v>5.5199999999999999E-2</v>
      </c>
      <c r="I23" s="5">
        <f t="shared" si="0"/>
        <v>1.15E-2</v>
      </c>
      <c r="J23" s="6">
        <f t="shared" si="1"/>
        <v>6.1416187675005243E-2</v>
      </c>
      <c r="K23" s="7">
        <f t="shared" si="2"/>
        <v>7.362247383326781E-2</v>
      </c>
    </row>
    <row r="24" spans="1:11" x14ac:dyDescent="0.25">
      <c r="A24">
        <v>20203</v>
      </c>
      <c r="B24" s="5">
        <v>1.4500000000000001E-2</v>
      </c>
      <c r="C24" s="6">
        <v>1.21E-2</v>
      </c>
      <c r="D24" s="7">
        <v>2.6599999999999999E-2</v>
      </c>
      <c r="I24" s="5">
        <f t="shared" si="0"/>
        <v>1.4500000000000001E-2</v>
      </c>
      <c r="J24" s="6">
        <f t="shared" si="1"/>
        <v>1.8939793975793161E-2</v>
      </c>
      <c r="K24" s="7">
        <f t="shared" si="2"/>
        <v>3.3714420988442129E-2</v>
      </c>
    </row>
    <row r="25" spans="1:11" x14ac:dyDescent="0.25">
      <c r="A25">
        <v>20202</v>
      </c>
      <c r="B25" s="5">
        <v>1.18E-2</v>
      </c>
      <c r="C25" s="6">
        <v>-1E-4</v>
      </c>
      <c r="D25" s="7">
        <v>1.17E-2</v>
      </c>
      <c r="I25" s="5">
        <f t="shared" si="0"/>
        <v>1.18E-2</v>
      </c>
      <c r="J25" s="6">
        <f t="shared" si="1"/>
        <v>-4.809366343988734E-3</v>
      </c>
      <c r="K25" s="7">
        <f t="shared" si="2"/>
        <v>6.933883133152241E-3</v>
      </c>
    </row>
    <row r="26" spans="1:11" x14ac:dyDescent="0.25">
      <c r="A26">
        <v>20201</v>
      </c>
      <c r="B26" s="5">
        <v>1.1299999999999999E-2</v>
      </c>
      <c r="C26" s="6">
        <v>8.3000000000000001E-3</v>
      </c>
      <c r="D26" s="7">
        <v>1.9599999999999999E-2</v>
      </c>
      <c r="I26" s="5">
        <f t="shared" si="0"/>
        <v>1.1299999999999999E-2</v>
      </c>
      <c r="J26" s="6">
        <f t="shared" si="1"/>
        <v>2.8618031503939646E-3</v>
      </c>
      <c r="K26" s="7">
        <f t="shared" si="2"/>
        <v>1.4194141525993409E-2</v>
      </c>
    </row>
    <row r="27" spans="1:11" x14ac:dyDescent="0.25">
      <c r="A27">
        <v>20194</v>
      </c>
      <c r="B27" s="5">
        <v>1.21E-2</v>
      </c>
      <c r="C27" s="6">
        <v>1.7999999999999999E-2</v>
      </c>
      <c r="D27" s="7">
        <v>3.0099999999999998E-2</v>
      </c>
      <c r="I27" s="5">
        <f t="shared" si="0"/>
        <v>1.21E-2</v>
      </c>
      <c r="J27" s="6">
        <f t="shared" si="1"/>
        <v>1.5084677977530785E-2</v>
      </c>
      <c r="K27" s="7">
        <f t="shared" si="2"/>
        <v>2.7367202581058958E-2</v>
      </c>
    </row>
    <row r="28" spans="1:11" x14ac:dyDescent="0.25">
      <c r="A28">
        <v>20193</v>
      </c>
      <c r="B28" s="5">
        <v>1.01E-2</v>
      </c>
      <c r="C28" s="6">
        <v>2.3199999999999998E-2</v>
      </c>
      <c r="D28" s="7">
        <v>3.3300000000000003E-2</v>
      </c>
      <c r="I28" s="5">
        <f t="shared" si="0"/>
        <v>1.01E-2</v>
      </c>
      <c r="J28" s="6">
        <f t="shared" si="1"/>
        <v>3.1553518872075255E-2</v>
      </c>
      <c r="K28" s="7">
        <f t="shared" si="2"/>
        <v>4.1972209412683315E-2</v>
      </c>
    </row>
    <row r="29" spans="1:11" x14ac:dyDescent="0.25">
      <c r="A29">
        <v>20192</v>
      </c>
      <c r="B29" s="8">
        <v>7.4999999999999997E-3</v>
      </c>
      <c r="C29" s="9">
        <v>8.3000000000000001E-3</v>
      </c>
      <c r="D29" s="10">
        <v>1.5800000000000002E-2</v>
      </c>
      <c r="I29" s="8">
        <f t="shared" si="0"/>
        <v>7.4999999999999997E-3</v>
      </c>
      <c r="J29" s="9">
        <f t="shared" si="1"/>
        <v>1.2953302458941249E-2</v>
      </c>
      <c r="K29" s="10">
        <f t="shared" si="2"/>
        <v>2.0550452227383387E-2</v>
      </c>
    </row>
    <row r="30" spans="1:11" x14ac:dyDescent="0.25">
      <c r="I30" s="6"/>
      <c r="J30" s="6"/>
      <c r="K30" s="6"/>
    </row>
    <row r="31" spans="1:11" x14ac:dyDescent="0.25">
      <c r="I31" s="6"/>
      <c r="J31" s="6"/>
      <c r="K31" s="6"/>
    </row>
    <row r="32" spans="1:11" x14ac:dyDescent="0.25">
      <c r="I32" s="6"/>
      <c r="J32" s="6"/>
      <c r="K32" s="6"/>
    </row>
    <row r="33" spans="9:11" x14ac:dyDescent="0.25">
      <c r="I33" s="6"/>
      <c r="J33" s="6"/>
      <c r="K33" s="6"/>
    </row>
    <row r="34" spans="9:11" x14ac:dyDescent="0.25">
      <c r="I34" s="6"/>
      <c r="J34" s="6"/>
      <c r="K34" s="6"/>
    </row>
    <row r="35" spans="9:11" x14ac:dyDescent="0.25">
      <c r="I35" s="6"/>
      <c r="J35" s="6"/>
      <c r="K35" s="6"/>
    </row>
    <row r="36" spans="9:11" x14ac:dyDescent="0.25">
      <c r="I36" s="6"/>
      <c r="J36" s="6"/>
      <c r="K36" s="6"/>
    </row>
    <row r="37" spans="9:11" x14ac:dyDescent="0.25">
      <c r="I37" s="6"/>
      <c r="J37" s="6"/>
      <c r="K37" s="6"/>
    </row>
    <row r="38" spans="9:11" x14ac:dyDescent="0.25">
      <c r="I38" s="6"/>
      <c r="J38" s="6"/>
      <c r="K38" s="6"/>
    </row>
  </sheetData>
  <mergeCells count="8">
    <mergeCell ref="M3:N3"/>
    <mergeCell ref="M4:N4"/>
    <mergeCell ref="A1:B1"/>
    <mergeCell ref="A2:B2"/>
    <mergeCell ref="B5:D5"/>
    <mergeCell ref="F3:G3"/>
    <mergeCell ref="F4:G4"/>
    <mergeCell ref="I5:K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1"/>
  <sheetViews>
    <sheetView workbookViewId="0">
      <selection sqref="A1:B1"/>
    </sheetView>
  </sheetViews>
  <sheetFormatPr defaultRowHeight="15" x14ac:dyDescent="0.25"/>
  <cols>
    <col min="1" max="1" width="12.7109375" customWidth="1"/>
    <col min="2" max="4" width="12.7109375" style="1" customWidth="1"/>
    <col min="5" max="5" width="4.7109375" customWidth="1"/>
    <col min="6" max="7" width="12.7109375" customWidth="1"/>
    <col min="8" max="8" width="4.7109375" customWidth="1"/>
    <col min="9" max="11" width="12.7109375" customWidth="1"/>
    <col min="12" max="12" width="4.7109375" customWidth="1"/>
    <col min="13" max="18" width="12.7109375" customWidth="1"/>
  </cols>
  <sheetData>
    <row r="1" spans="1:14" x14ac:dyDescent="0.25">
      <c r="A1" s="41" t="s">
        <v>17</v>
      </c>
      <c r="B1" s="43"/>
      <c r="C1" s="15" t="s">
        <v>11</v>
      </c>
    </row>
    <row r="2" spans="1:14" x14ac:dyDescent="0.25">
      <c r="A2" s="39" t="s">
        <v>18</v>
      </c>
      <c r="B2" s="43"/>
      <c r="C2" s="18">
        <f>CORREL(C7:C79,C9:C81)</f>
        <v>0.45714724646975385</v>
      </c>
    </row>
    <row r="3" spans="1:14" x14ac:dyDescent="0.25">
      <c r="F3" s="36" t="s">
        <v>1</v>
      </c>
      <c r="G3" s="35"/>
      <c r="M3" s="36" t="s">
        <v>19</v>
      </c>
      <c r="N3" s="35"/>
    </row>
    <row r="4" spans="1:14" x14ac:dyDescent="0.25">
      <c r="F4" s="37">
        <f t="array" ref="F4">+(STDEV(D7:D81+1)*SQRT(4))</f>
        <v>7.8523532663667031E-2</v>
      </c>
      <c r="G4" s="38"/>
      <c r="M4" s="37">
        <f t="array" ref="M4">+(STDEV(K7:K81+1)*SQRT(4))</f>
        <v>0.13237086002008167</v>
      </c>
      <c r="N4" s="38"/>
    </row>
    <row r="5" spans="1:14" x14ac:dyDescent="0.25">
      <c r="B5" s="33" t="s">
        <v>20</v>
      </c>
      <c r="C5" s="34"/>
      <c r="D5" s="35"/>
      <c r="I5" s="33" t="s">
        <v>21</v>
      </c>
      <c r="J5" s="34"/>
      <c r="K5" s="35"/>
    </row>
    <row r="6" spans="1:14" x14ac:dyDescent="0.25">
      <c r="B6" s="2" t="s">
        <v>22</v>
      </c>
      <c r="C6" s="3" t="s">
        <v>23</v>
      </c>
      <c r="D6" s="4" t="s">
        <v>24</v>
      </c>
      <c r="I6" s="12" t="s">
        <v>22</v>
      </c>
      <c r="J6" s="13" t="s">
        <v>23</v>
      </c>
      <c r="K6" s="14" t="s">
        <v>24</v>
      </c>
    </row>
    <row r="7" spans="1:14" x14ac:dyDescent="0.25">
      <c r="A7">
        <v>20244</v>
      </c>
      <c r="B7" s="19">
        <v>1.84E-2</v>
      </c>
      <c r="C7" s="1">
        <v>-9.4999999999999998E-3</v>
      </c>
      <c r="D7" s="20">
        <v>8.8999999999999999E-3</v>
      </c>
      <c r="I7" s="5">
        <f t="shared" ref="I7:I38" si="0">+B7</f>
        <v>1.84E-2</v>
      </c>
      <c r="J7" s="6">
        <f t="shared" ref="J7:J38" si="1">(C7-($C$2*C8))/(1-$C$2)</f>
        <v>-2.1879166319787233E-2</v>
      </c>
      <c r="K7" s="7">
        <f t="shared" ref="K7:K38" si="2">(1+I7)*(1+J7)-1</f>
        <v>-3.8817429800713787E-3</v>
      </c>
    </row>
    <row r="8" spans="1:14" x14ac:dyDescent="0.25">
      <c r="A8">
        <v>20243</v>
      </c>
      <c r="B8" s="19">
        <v>2.23E-2</v>
      </c>
      <c r="C8" s="1">
        <v>5.1999999999999998E-3</v>
      </c>
      <c r="D8" s="20">
        <v>2.75E-2</v>
      </c>
      <c r="I8" s="5">
        <f t="shared" si="0"/>
        <v>2.23E-2</v>
      </c>
      <c r="J8" s="6">
        <f t="shared" si="1"/>
        <v>7.9789965207685623E-3</v>
      </c>
      <c r="K8" s="7">
        <f t="shared" si="2"/>
        <v>3.0456928143181683E-2</v>
      </c>
    </row>
    <row r="9" spans="1:14" x14ac:dyDescent="0.25">
      <c r="A9">
        <v>20242</v>
      </c>
      <c r="B9" s="19">
        <v>1.8700000000000001E-2</v>
      </c>
      <c r="C9" s="1">
        <v>1.9E-3</v>
      </c>
      <c r="D9" s="20">
        <v>2.06E-2</v>
      </c>
      <c r="I9" s="5">
        <f t="shared" si="0"/>
        <v>1.8700000000000001E-2</v>
      </c>
      <c r="J9" s="6">
        <f t="shared" si="1"/>
        <v>5.4369046627963519E-3</v>
      </c>
      <c r="K9" s="7">
        <f t="shared" si="2"/>
        <v>2.4238574779990696E-2</v>
      </c>
    </row>
    <row r="10" spans="1:14" x14ac:dyDescent="0.25">
      <c r="A10">
        <v>20241</v>
      </c>
      <c r="B10" s="19">
        <v>1.0699999999999999E-2</v>
      </c>
      <c r="C10" s="1">
        <v>-2.3E-3</v>
      </c>
      <c r="D10" s="20">
        <v>8.3999999999999995E-3</v>
      </c>
      <c r="I10" s="5">
        <f t="shared" si="0"/>
        <v>1.0699999999999999E-2</v>
      </c>
      <c r="J10" s="6">
        <f t="shared" si="1"/>
        <v>-3.394756205151252E-3</v>
      </c>
      <c r="K10" s="7">
        <f t="shared" si="2"/>
        <v>7.2689199034534635E-3</v>
      </c>
    </row>
    <row r="11" spans="1:14" x14ac:dyDescent="0.25">
      <c r="A11">
        <v>20234</v>
      </c>
      <c r="B11" s="19">
        <v>1.89E-2</v>
      </c>
      <c r="C11" s="1">
        <v>-1E-3</v>
      </c>
      <c r="D11" s="20">
        <v>1.7899999999999999E-2</v>
      </c>
      <c r="I11" s="5">
        <f t="shared" si="0"/>
        <v>1.89E-2</v>
      </c>
      <c r="J11" s="6">
        <f t="shared" si="1"/>
        <v>9.4756205151251766E-5</v>
      </c>
      <c r="K11" s="7">
        <f t="shared" si="2"/>
        <v>1.8996547097428484E-2</v>
      </c>
    </row>
    <row r="12" spans="1:14" x14ac:dyDescent="0.25">
      <c r="A12">
        <v>20233</v>
      </c>
      <c r="B12" s="19">
        <v>2.1100000000000001E-2</v>
      </c>
      <c r="C12" s="1">
        <v>-2.3E-3</v>
      </c>
      <c r="D12" s="20">
        <v>1.8800000000000001E-2</v>
      </c>
      <c r="I12" s="5">
        <f t="shared" si="0"/>
        <v>2.1100000000000001E-2</v>
      </c>
      <c r="J12" s="6">
        <f t="shared" si="1"/>
        <v>-2.0489795408666956E-2</v>
      </c>
      <c r="K12" s="7">
        <f t="shared" si="2"/>
        <v>1.7786990821022641E-4</v>
      </c>
    </row>
    <row r="13" spans="1:14" x14ac:dyDescent="0.25">
      <c r="A13">
        <v>20232</v>
      </c>
      <c r="B13" s="19">
        <v>1.89E-2</v>
      </c>
      <c r="C13" s="1">
        <v>1.9300000000000001E-2</v>
      </c>
      <c r="D13" s="20">
        <v>3.8199999999999998E-2</v>
      </c>
      <c r="I13" s="5">
        <f t="shared" si="0"/>
        <v>1.89E-2</v>
      </c>
      <c r="J13" s="6">
        <f t="shared" si="1"/>
        <v>2.2752692647015488E-2</v>
      </c>
      <c r="K13" s="7">
        <f t="shared" si="2"/>
        <v>4.2082718538043906E-2</v>
      </c>
    </row>
    <row r="14" spans="1:14" x14ac:dyDescent="0.25">
      <c r="A14">
        <v>20231</v>
      </c>
      <c r="B14" s="19">
        <v>7.7000000000000002E-3</v>
      </c>
      <c r="C14" s="1">
        <v>1.52E-2</v>
      </c>
      <c r="D14" s="20">
        <v>2.29E-2</v>
      </c>
      <c r="I14" s="5">
        <f t="shared" si="0"/>
        <v>7.7000000000000002E-3</v>
      </c>
      <c r="J14" s="6">
        <f t="shared" si="1"/>
        <v>1.7978996520768564E-2</v>
      </c>
      <c r="K14" s="7">
        <f t="shared" si="2"/>
        <v>2.5817434793978578E-2</v>
      </c>
    </row>
    <row r="15" spans="1:14" x14ac:dyDescent="0.25">
      <c r="A15">
        <v>20224</v>
      </c>
      <c r="B15" s="19">
        <v>2.06E-2</v>
      </c>
      <c r="C15" s="1">
        <v>1.1900000000000001E-2</v>
      </c>
      <c r="D15" s="20">
        <v>3.2500000000000001E-2</v>
      </c>
      <c r="I15" s="5">
        <f t="shared" si="0"/>
        <v>2.06E-2</v>
      </c>
      <c r="J15" s="6">
        <f t="shared" si="1"/>
        <v>1.914223335715444E-2</v>
      </c>
      <c r="K15" s="7">
        <f t="shared" si="2"/>
        <v>4.0136563364311817E-2</v>
      </c>
    </row>
    <row r="16" spans="1:14" x14ac:dyDescent="0.25">
      <c r="A16">
        <v>20223</v>
      </c>
      <c r="B16" s="19">
        <v>2.3900000000000001E-2</v>
      </c>
      <c r="C16" s="1">
        <v>3.3E-3</v>
      </c>
      <c r="D16" s="20">
        <v>2.7099999999999999E-2</v>
      </c>
      <c r="I16" s="5">
        <f t="shared" si="0"/>
        <v>2.3900000000000001E-2</v>
      </c>
      <c r="J16" s="6">
        <f t="shared" si="1"/>
        <v>5.4053003945216385E-3</v>
      </c>
      <c r="K16" s="7">
        <f t="shared" si="2"/>
        <v>2.9434487073950688E-2</v>
      </c>
    </row>
    <row r="17" spans="1:11" x14ac:dyDescent="0.25">
      <c r="A17">
        <v>20222</v>
      </c>
      <c r="B17" s="19">
        <v>1.54E-2</v>
      </c>
      <c r="C17" s="1">
        <v>8.0000000000000004E-4</v>
      </c>
      <c r="D17" s="20">
        <v>1.6199999999999999E-2</v>
      </c>
      <c r="I17" s="5">
        <f t="shared" si="0"/>
        <v>1.54E-2</v>
      </c>
      <c r="J17" s="6">
        <f t="shared" si="1"/>
        <v>-1.5116070982583581E-2</v>
      </c>
      <c r="K17" s="7">
        <f t="shared" si="2"/>
        <v>5.1141524284759043E-5</v>
      </c>
    </row>
    <row r="18" spans="1:11" x14ac:dyDescent="0.25">
      <c r="A18">
        <v>20221</v>
      </c>
      <c r="B18" s="19">
        <v>7.3000000000000001E-3</v>
      </c>
      <c r="C18" s="1">
        <v>1.9699999999999999E-2</v>
      </c>
      <c r="D18" s="20">
        <v>2.7E-2</v>
      </c>
      <c r="I18" s="5">
        <f t="shared" si="0"/>
        <v>7.3000000000000001E-3</v>
      </c>
      <c r="J18" s="6">
        <f t="shared" si="1"/>
        <v>3.9523530489781467E-3</v>
      </c>
      <c r="K18" s="7">
        <f t="shared" si="2"/>
        <v>1.128120522623588E-2</v>
      </c>
    </row>
    <row r="19" spans="1:11" x14ac:dyDescent="0.25">
      <c r="A19">
        <v>20214</v>
      </c>
      <c r="B19" s="19">
        <v>1.6E-2</v>
      </c>
      <c r="C19" s="1">
        <v>3.8399999999999997E-2</v>
      </c>
      <c r="D19" s="20">
        <v>5.4399999999999997E-2</v>
      </c>
      <c r="I19" s="5">
        <f t="shared" si="0"/>
        <v>1.6E-2</v>
      </c>
      <c r="J19" s="6">
        <f t="shared" si="1"/>
        <v>6.3495180702697912E-2</v>
      </c>
      <c r="K19" s="7">
        <f t="shared" si="2"/>
        <v>8.0511103593941202E-2</v>
      </c>
    </row>
    <row r="20" spans="1:11" x14ac:dyDescent="0.25">
      <c r="A20">
        <v>20213</v>
      </c>
      <c r="B20" s="19">
        <v>1.11E-2</v>
      </c>
      <c r="C20" s="1">
        <v>8.6E-3</v>
      </c>
      <c r="D20" s="20">
        <v>1.9699999999999999E-2</v>
      </c>
      <c r="I20" s="5">
        <f t="shared" si="0"/>
        <v>1.11E-2</v>
      </c>
      <c r="J20" s="6">
        <f t="shared" si="1"/>
        <v>6.0736395265740357E-3</v>
      </c>
      <c r="K20" s="7">
        <f t="shared" si="2"/>
        <v>1.7241056925319187E-2</v>
      </c>
    </row>
    <row r="21" spans="1:11" x14ac:dyDescent="0.25">
      <c r="A21">
        <v>20212</v>
      </c>
      <c r="B21" s="19">
        <v>-1.6999999999999999E-3</v>
      </c>
      <c r="C21" s="1">
        <v>1.1599999999999999E-2</v>
      </c>
      <c r="D21" s="20">
        <v>9.9000000000000008E-3</v>
      </c>
      <c r="I21" s="5">
        <f t="shared" si="0"/>
        <v>-1.6999999999999999E-3</v>
      </c>
      <c r="J21" s="6">
        <f t="shared" si="1"/>
        <v>2.5073922524938484E-2</v>
      </c>
      <c r="K21" s="7">
        <f t="shared" si="2"/>
        <v>2.3331296856646144E-2</v>
      </c>
    </row>
    <row r="22" spans="1:11" x14ac:dyDescent="0.25">
      <c r="A22">
        <v>20211</v>
      </c>
      <c r="B22" s="19">
        <v>-1.17E-2</v>
      </c>
      <c r="C22" s="1">
        <v>-4.4000000000000003E-3</v>
      </c>
      <c r="D22" s="20">
        <v>-1.6199999999999999E-2</v>
      </c>
      <c r="I22" s="5">
        <f t="shared" si="0"/>
        <v>-1.17E-2</v>
      </c>
      <c r="J22" s="6">
        <f t="shared" si="1"/>
        <v>9.7476186511854072E-3</v>
      </c>
      <c r="K22" s="7">
        <f t="shared" si="2"/>
        <v>-2.0664284870335337E-3</v>
      </c>
    </row>
    <row r="23" spans="1:11" x14ac:dyDescent="0.25">
      <c r="A23">
        <v>20204</v>
      </c>
      <c r="B23" s="19">
        <v>-9.4999999999999998E-3</v>
      </c>
      <c r="C23" s="1">
        <v>-2.12E-2</v>
      </c>
      <c r="D23" s="20">
        <v>-3.0700000000000002E-2</v>
      </c>
      <c r="I23" s="5">
        <f t="shared" si="0"/>
        <v>-9.4999999999999998E-3</v>
      </c>
      <c r="J23" s="6">
        <f t="shared" si="1"/>
        <v>-3.2400198098855117E-2</v>
      </c>
      <c r="K23" s="7">
        <f t="shared" si="2"/>
        <v>-4.1592396216915906E-2</v>
      </c>
    </row>
    <row r="24" spans="1:11" x14ac:dyDescent="0.25">
      <c r="A24">
        <v>20203</v>
      </c>
      <c r="B24" s="19">
        <v>-1.49E-2</v>
      </c>
      <c r="C24" s="1">
        <v>-7.9000000000000008E-3</v>
      </c>
      <c r="D24" s="20">
        <v>-2.2800000000000001E-2</v>
      </c>
      <c r="I24" s="5">
        <f t="shared" si="0"/>
        <v>-1.49E-2</v>
      </c>
      <c r="J24" s="6">
        <f t="shared" si="1"/>
        <v>0.14713432105257343</v>
      </c>
      <c r="K24" s="7">
        <f t="shared" si="2"/>
        <v>0.13004201966889006</v>
      </c>
    </row>
    <row r="25" spans="1:11" x14ac:dyDescent="0.25">
      <c r="A25">
        <v>20202</v>
      </c>
      <c r="B25" s="19">
        <v>-3.2000000000000002E-3</v>
      </c>
      <c r="C25" s="1">
        <v>-0.192</v>
      </c>
      <c r="D25" s="20">
        <v>-0.1953</v>
      </c>
      <c r="I25" s="5">
        <f t="shared" si="0"/>
        <v>-3.2000000000000002E-3</v>
      </c>
      <c r="J25" s="6">
        <f t="shared" si="1"/>
        <v>-0.31890750778176441</v>
      </c>
      <c r="K25" s="7">
        <f t="shared" si="2"/>
        <v>-0.32108700375686283</v>
      </c>
    </row>
    <row r="26" spans="1:11" x14ac:dyDescent="0.25">
      <c r="A26">
        <v>20201</v>
      </c>
      <c r="B26" s="19">
        <v>1.15E-2</v>
      </c>
      <c r="C26" s="1">
        <v>-4.1300000000000003E-2</v>
      </c>
      <c r="D26" s="20">
        <v>-2.98E-2</v>
      </c>
      <c r="I26" s="5">
        <f t="shared" si="0"/>
        <v>1.15E-2</v>
      </c>
      <c r="J26" s="6">
        <f t="shared" si="1"/>
        <v>-5.763713106148792E-2</v>
      </c>
      <c r="K26" s="7">
        <f t="shared" si="2"/>
        <v>-4.6799958068694969E-2</v>
      </c>
    </row>
    <row r="27" spans="1:11" x14ac:dyDescent="0.25">
      <c r="A27">
        <v>20194</v>
      </c>
      <c r="B27" s="19">
        <v>2.18E-2</v>
      </c>
      <c r="C27" s="1">
        <v>-2.1899999999999999E-2</v>
      </c>
      <c r="D27" s="20">
        <v>-2.0000000000000001E-4</v>
      </c>
      <c r="I27" s="5">
        <f t="shared" si="0"/>
        <v>2.18E-2</v>
      </c>
      <c r="J27" s="6">
        <f t="shared" si="1"/>
        <v>-3.8321343077268782E-2</v>
      </c>
      <c r="K27" s="7">
        <f t="shared" si="2"/>
        <v>-1.7356748356353147E-2</v>
      </c>
    </row>
    <row r="28" spans="1:11" x14ac:dyDescent="0.25">
      <c r="A28">
        <v>20193</v>
      </c>
      <c r="B28" s="19">
        <v>2.46E-2</v>
      </c>
      <c r="C28" s="1">
        <v>-2.3999999999999998E-3</v>
      </c>
      <c r="D28" s="20">
        <v>2.2200000000000001E-2</v>
      </c>
      <c r="I28" s="5">
        <f t="shared" si="0"/>
        <v>2.46E-2</v>
      </c>
      <c r="J28" s="6">
        <f t="shared" si="1"/>
        <v>5.2632934360587625E-3</v>
      </c>
      <c r="K28" s="7">
        <f t="shared" si="2"/>
        <v>2.9992770454585704E-2</v>
      </c>
    </row>
    <row r="29" spans="1:11" x14ac:dyDescent="0.25">
      <c r="A29">
        <v>20192</v>
      </c>
      <c r="B29" s="19">
        <v>2.4199999999999999E-2</v>
      </c>
      <c r="C29" s="1">
        <v>-1.15E-2</v>
      </c>
      <c r="D29" s="20">
        <v>1.2699999999999999E-2</v>
      </c>
      <c r="I29" s="5">
        <f t="shared" si="0"/>
        <v>2.4199999999999999E-2</v>
      </c>
      <c r="J29" s="6">
        <f t="shared" si="1"/>
        <v>-1.6131660867947605E-2</v>
      </c>
      <c r="K29" s="7">
        <f t="shared" si="2"/>
        <v>7.6779529390480494E-3</v>
      </c>
    </row>
    <row r="30" spans="1:11" x14ac:dyDescent="0.25">
      <c r="A30">
        <v>20191</v>
      </c>
      <c r="B30" s="19">
        <v>1.77E-2</v>
      </c>
      <c r="C30" s="1">
        <v>-6.0000000000000001E-3</v>
      </c>
      <c r="D30" s="20">
        <v>1.1599999999999999E-2</v>
      </c>
      <c r="I30" s="5">
        <f t="shared" si="0"/>
        <v>1.77E-2</v>
      </c>
      <c r="J30" s="6">
        <f t="shared" si="1"/>
        <v>-5.2420918579722114E-3</v>
      </c>
      <c r="K30" s="7">
        <f t="shared" si="2"/>
        <v>1.2365123116141685E-2</v>
      </c>
    </row>
    <row r="31" spans="1:11" x14ac:dyDescent="0.25">
      <c r="A31">
        <v>20184</v>
      </c>
      <c r="B31" s="19">
        <v>2.35E-2</v>
      </c>
      <c r="C31" s="1">
        <v>-6.8999999999999999E-3</v>
      </c>
      <c r="D31" s="20">
        <v>1.66E-2</v>
      </c>
      <c r="I31" s="5">
        <f t="shared" si="0"/>
        <v>2.35E-2</v>
      </c>
      <c r="J31" s="6">
        <f t="shared" si="1"/>
        <v>-1.1784296915290201E-2</v>
      </c>
      <c r="K31" s="7">
        <f t="shared" si="2"/>
        <v>1.1438772107200679E-2</v>
      </c>
    </row>
    <row r="32" spans="1:11" x14ac:dyDescent="0.25">
      <c r="A32">
        <v>20183</v>
      </c>
      <c r="B32" s="19">
        <v>2.47E-2</v>
      </c>
      <c r="C32" s="1">
        <v>-1.1000000000000001E-3</v>
      </c>
      <c r="D32" s="20">
        <v>2.3599999999999999E-2</v>
      </c>
      <c r="I32" s="5">
        <f t="shared" si="0"/>
        <v>2.47E-2</v>
      </c>
      <c r="J32" s="6">
        <f t="shared" si="1"/>
        <v>2.9421767574815444E-3</v>
      </c>
      <c r="K32" s="7">
        <f t="shared" si="2"/>
        <v>2.7714848523391344E-2</v>
      </c>
    </row>
    <row r="33" spans="1:11" x14ac:dyDescent="0.25">
      <c r="A33">
        <v>20182</v>
      </c>
      <c r="B33" s="19">
        <v>2.0299999999999999E-2</v>
      </c>
      <c r="C33" s="1">
        <v>-5.8999999999999999E-3</v>
      </c>
      <c r="D33" s="20">
        <v>1.4500000000000001E-2</v>
      </c>
      <c r="I33" s="5">
        <f t="shared" si="0"/>
        <v>2.0299999999999999E-2</v>
      </c>
      <c r="J33" s="6">
        <f t="shared" si="1"/>
        <v>-1.2552749246688377E-2</v>
      </c>
      <c r="K33" s="7">
        <f t="shared" si="2"/>
        <v>7.4924299436038844E-3</v>
      </c>
    </row>
    <row r="34" spans="1:11" x14ac:dyDescent="0.25">
      <c r="A34">
        <v>20181</v>
      </c>
      <c r="B34" s="19">
        <v>1.72E-2</v>
      </c>
      <c r="C34" s="1">
        <v>2E-3</v>
      </c>
      <c r="D34" s="20">
        <v>1.9199999999999998E-2</v>
      </c>
      <c r="I34" s="5">
        <f t="shared" si="0"/>
        <v>1.72E-2</v>
      </c>
      <c r="J34" s="6">
        <f t="shared" si="1"/>
        <v>1.3368622130416846E-2</v>
      </c>
      <c r="K34" s="7">
        <f t="shared" si="2"/>
        <v>3.079856243106005E-2</v>
      </c>
    </row>
    <row r="35" spans="1:11" x14ac:dyDescent="0.25">
      <c r="A35">
        <v>20174</v>
      </c>
      <c r="B35" s="19">
        <v>2.3099999999999999E-2</v>
      </c>
      <c r="C35" s="1">
        <v>-1.15E-2</v>
      </c>
      <c r="D35" s="20">
        <v>1.1599999999999999E-2</v>
      </c>
      <c r="I35" s="5">
        <f t="shared" si="0"/>
        <v>2.3099999999999999E-2</v>
      </c>
      <c r="J35" s="6">
        <f t="shared" si="1"/>
        <v>-1.5542176757481546E-2</v>
      </c>
      <c r="K35" s="7">
        <f t="shared" si="2"/>
        <v>7.1987989594204382E-3</v>
      </c>
    </row>
    <row r="36" spans="1:11" x14ac:dyDescent="0.25">
      <c r="A36">
        <v>20173</v>
      </c>
      <c r="B36" s="19">
        <v>2.5499999999999998E-2</v>
      </c>
      <c r="C36" s="1">
        <v>-6.7000000000000002E-3</v>
      </c>
      <c r="D36" s="20">
        <v>1.8800000000000001E-2</v>
      </c>
      <c r="I36" s="5">
        <f t="shared" si="0"/>
        <v>2.5499999999999998E-2</v>
      </c>
      <c r="J36" s="6">
        <f t="shared" si="1"/>
        <v>-1.0236904662796354E-2</v>
      </c>
      <c r="K36" s="7">
        <f t="shared" si="2"/>
        <v>1.5002054268302478E-2</v>
      </c>
    </row>
    <row r="37" spans="1:11" x14ac:dyDescent="0.25">
      <c r="A37">
        <v>20172</v>
      </c>
      <c r="B37" s="19">
        <v>2.1999999999999999E-2</v>
      </c>
      <c r="C37" s="1">
        <v>-2.5000000000000001E-3</v>
      </c>
      <c r="D37" s="20">
        <v>1.95E-2</v>
      </c>
      <c r="I37" s="5">
        <f t="shared" si="0"/>
        <v>2.1999999999999999E-2</v>
      </c>
      <c r="J37" s="6">
        <f t="shared" si="1"/>
        <v>-2.584212015780866E-3</v>
      </c>
      <c r="K37" s="7">
        <f t="shared" si="2"/>
        <v>1.9358935319871984E-2</v>
      </c>
    </row>
    <row r="38" spans="1:11" x14ac:dyDescent="0.25">
      <c r="A38">
        <v>20171</v>
      </c>
      <c r="B38" s="19">
        <v>1.6899999999999998E-2</v>
      </c>
      <c r="C38" s="1">
        <v>-2.3999999999999998E-3</v>
      </c>
      <c r="D38" s="20">
        <v>1.4500000000000001E-2</v>
      </c>
      <c r="I38" s="5">
        <f t="shared" si="0"/>
        <v>1.6899999999999998E-2</v>
      </c>
      <c r="J38" s="6">
        <f t="shared" si="1"/>
        <v>-1.0568565530743954E-2</v>
      </c>
      <c r="K38" s="7">
        <f t="shared" si="2"/>
        <v>6.152825711786436E-3</v>
      </c>
    </row>
    <row r="39" spans="1:11" x14ac:dyDescent="0.25">
      <c r="A39">
        <v>20164</v>
      </c>
      <c r="B39" s="19">
        <v>2.5899999999999999E-2</v>
      </c>
      <c r="C39" s="1">
        <v>7.3000000000000001E-3</v>
      </c>
      <c r="D39" s="20">
        <v>3.32E-2</v>
      </c>
      <c r="I39" s="5">
        <f t="shared" ref="I39:I70" si="3">+B39</f>
        <v>2.5899999999999999E-2</v>
      </c>
      <c r="J39" s="6">
        <f t="shared" ref="J39:J70" si="4">(C39-($C$2*C40))/(1-$C$2)</f>
        <v>1.1763236836385874E-2</v>
      </c>
      <c r="K39" s="7">
        <f t="shared" ref="K39:K70" si="5">(1+I39)*(1+J39)-1</f>
        <v>3.7967904670448194E-2</v>
      </c>
    </row>
    <row r="40" spans="1:11" x14ac:dyDescent="0.25">
      <c r="A40">
        <v>20163</v>
      </c>
      <c r="B40" s="19">
        <v>2.7699999999999999E-2</v>
      </c>
      <c r="C40" s="1">
        <v>2E-3</v>
      </c>
      <c r="D40" s="20">
        <v>2.9600000000000001E-2</v>
      </c>
      <c r="I40" s="5">
        <f t="shared" si="3"/>
        <v>2.7699999999999999E-2</v>
      </c>
      <c r="J40" s="6">
        <f t="shared" si="4"/>
        <v>9.2422333571544352E-3</v>
      </c>
      <c r="K40" s="7">
        <f t="shared" si="5"/>
        <v>3.7198243221147731E-2</v>
      </c>
    </row>
    <row r="41" spans="1:11" x14ac:dyDescent="0.25">
      <c r="A41">
        <v>20162</v>
      </c>
      <c r="B41" s="19">
        <v>2.2499999999999999E-2</v>
      </c>
      <c r="C41" s="1">
        <v>-6.6E-3</v>
      </c>
      <c r="D41" s="20">
        <v>1.5800000000000002E-2</v>
      </c>
      <c r="I41" s="5">
        <f t="shared" si="3"/>
        <v>2.2499999999999999E-2</v>
      </c>
      <c r="J41" s="6">
        <f t="shared" si="4"/>
        <v>-1.9905498493376757E-2</v>
      </c>
      <c r="K41" s="7">
        <f t="shared" si="5"/>
        <v>2.1466277905222153E-3</v>
      </c>
    </row>
    <row r="42" spans="1:11" x14ac:dyDescent="0.25">
      <c r="A42">
        <v>20161</v>
      </c>
      <c r="B42" s="19">
        <v>1.83E-2</v>
      </c>
      <c r="C42" s="1">
        <v>9.1999999999999998E-3</v>
      </c>
      <c r="D42" s="20">
        <v>2.75E-2</v>
      </c>
      <c r="I42" s="5">
        <f t="shared" si="3"/>
        <v>1.83E-2</v>
      </c>
      <c r="J42" s="6">
        <f t="shared" si="4"/>
        <v>7.2631236370400932E-3</v>
      </c>
      <c r="K42" s="7">
        <f t="shared" si="5"/>
        <v>2.569603879959792E-2</v>
      </c>
    </row>
    <row r="43" spans="1:11" x14ac:dyDescent="0.25">
      <c r="A43">
        <v>20154</v>
      </c>
      <c r="B43" s="19">
        <v>2.4E-2</v>
      </c>
      <c r="C43" s="1">
        <v>1.15E-2</v>
      </c>
      <c r="D43" s="20">
        <v>3.5499999999999997E-2</v>
      </c>
      <c r="I43" s="5">
        <f t="shared" si="3"/>
        <v>2.4E-2</v>
      </c>
      <c r="J43" s="6">
        <f t="shared" si="4"/>
        <v>1.2342120157808657E-2</v>
      </c>
      <c r="K43" s="7">
        <f t="shared" si="5"/>
        <v>3.6638331041596084E-2</v>
      </c>
    </row>
    <row r="44" spans="1:11" x14ac:dyDescent="0.25">
      <c r="A44">
        <v>20153</v>
      </c>
      <c r="B44" s="19">
        <v>2.5600000000000001E-2</v>
      </c>
      <c r="C44" s="1">
        <v>1.0500000000000001E-2</v>
      </c>
      <c r="D44" s="20">
        <v>3.61E-2</v>
      </c>
      <c r="I44" s="5">
        <f t="shared" si="3"/>
        <v>2.5600000000000001E-2</v>
      </c>
      <c r="J44" s="6">
        <f t="shared" si="4"/>
        <v>1.976332173589521E-2</v>
      </c>
      <c r="K44" s="7">
        <f t="shared" si="5"/>
        <v>4.5869262772334274E-2</v>
      </c>
    </row>
    <row r="45" spans="1:11" x14ac:dyDescent="0.25">
      <c r="A45">
        <v>20152</v>
      </c>
      <c r="B45" s="19">
        <v>2.3900000000000001E-2</v>
      </c>
      <c r="C45" s="1">
        <v>-5.0000000000000001E-4</v>
      </c>
      <c r="D45" s="20">
        <v>2.3300000000000001E-2</v>
      </c>
      <c r="I45" s="5">
        <f t="shared" si="3"/>
        <v>2.3900000000000001E-2</v>
      </c>
      <c r="J45" s="6">
        <f t="shared" si="4"/>
        <v>-5.7211449784136626E-3</v>
      </c>
      <c r="K45" s="7">
        <f t="shared" si="5"/>
        <v>1.8042119656602296E-2</v>
      </c>
    </row>
    <row r="46" spans="1:11" x14ac:dyDescent="0.25">
      <c r="A46">
        <v>20151</v>
      </c>
      <c r="B46" s="19">
        <v>1.7500000000000002E-2</v>
      </c>
      <c r="C46" s="1">
        <v>5.7000000000000002E-3</v>
      </c>
      <c r="D46" s="20">
        <v>2.3199999999999998E-2</v>
      </c>
      <c r="I46" s="5">
        <f t="shared" si="3"/>
        <v>1.7500000000000002E-2</v>
      </c>
      <c r="J46" s="6">
        <f t="shared" si="4"/>
        <v>-2.215929483401359E-3</v>
      </c>
      <c r="K46" s="7">
        <f t="shared" si="5"/>
        <v>1.5245291750639156E-2</v>
      </c>
    </row>
    <row r="47" spans="1:11" x14ac:dyDescent="0.25">
      <c r="A47">
        <v>20144</v>
      </c>
      <c r="B47" s="19">
        <v>2.5000000000000001E-2</v>
      </c>
      <c r="C47" s="1">
        <v>1.5100000000000001E-2</v>
      </c>
      <c r="D47" s="20">
        <v>4.0099999999999997E-2</v>
      </c>
      <c r="I47" s="5">
        <f t="shared" si="3"/>
        <v>2.5000000000000001E-2</v>
      </c>
      <c r="J47" s="6">
        <f t="shared" si="4"/>
        <v>4.657710043172677E-3</v>
      </c>
      <c r="K47" s="7">
        <f t="shared" si="5"/>
        <v>2.9774152794251885E-2</v>
      </c>
    </row>
    <row r="48" spans="1:11" x14ac:dyDescent="0.25">
      <c r="A48">
        <v>20143</v>
      </c>
      <c r="B48" s="19">
        <v>2.7099999999999999E-2</v>
      </c>
      <c r="C48" s="1">
        <v>2.75E-2</v>
      </c>
      <c r="D48" s="20">
        <v>5.45E-2</v>
      </c>
      <c r="I48" s="5">
        <f t="shared" si="3"/>
        <v>2.7099999999999999E-2</v>
      </c>
      <c r="J48" s="6">
        <f t="shared" si="4"/>
        <v>4.2068678730089737E-2</v>
      </c>
      <c r="K48" s="7">
        <f t="shared" si="5"/>
        <v>7.0308739923675034E-2</v>
      </c>
    </row>
    <row r="49" spans="1:11" x14ac:dyDescent="0.25">
      <c r="A49">
        <v>20142</v>
      </c>
      <c r="B49" s="19">
        <v>2.12E-2</v>
      </c>
      <c r="C49" s="1">
        <v>1.0200000000000001E-2</v>
      </c>
      <c r="D49" s="20">
        <v>3.15E-2</v>
      </c>
      <c r="I49" s="5">
        <f t="shared" si="3"/>
        <v>2.12E-2</v>
      </c>
      <c r="J49" s="6">
        <f t="shared" si="4"/>
        <v>7.6736395265740364E-3</v>
      </c>
      <c r="K49" s="7">
        <f t="shared" si="5"/>
        <v>2.9036320684537431E-2</v>
      </c>
    </row>
    <row r="50" spans="1:11" x14ac:dyDescent="0.25">
      <c r="A50">
        <v>20141</v>
      </c>
      <c r="B50" s="19">
        <v>1.7500000000000002E-2</v>
      </c>
      <c r="C50" s="1">
        <v>1.32E-2</v>
      </c>
      <c r="D50" s="20">
        <v>3.0700000000000002E-2</v>
      </c>
      <c r="I50" s="5">
        <f t="shared" si="3"/>
        <v>1.7500000000000002E-2</v>
      </c>
      <c r="J50" s="6">
        <f t="shared" si="4"/>
        <v>3.0884523313981761E-2</v>
      </c>
      <c r="K50" s="7">
        <f t="shared" si="5"/>
        <v>4.8925002471976509E-2</v>
      </c>
    </row>
    <row r="51" spans="1:11" x14ac:dyDescent="0.25">
      <c r="A51">
        <v>20134</v>
      </c>
      <c r="B51" s="19">
        <v>2.3E-2</v>
      </c>
      <c r="C51" s="1">
        <v>-7.7999999999999996E-3</v>
      </c>
      <c r="D51" s="20">
        <v>1.52E-2</v>
      </c>
      <c r="I51" s="5">
        <f t="shared" si="3"/>
        <v>2.3E-2</v>
      </c>
      <c r="J51" s="6">
        <f t="shared" si="4"/>
        <v>-1.529486940449703E-2</v>
      </c>
      <c r="K51" s="7">
        <f t="shared" si="5"/>
        <v>7.3533485991994496E-3</v>
      </c>
    </row>
    <row r="52" spans="1:11" x14ac:dyDescent="0.25">
      <c r="A52">
        <v>20133</v>
      </c>
      <c r="B52" s="19">
        <v>2.47E-2</v>
      </c>
      <c r="C52" s="1">
        <v>1.1000000000000001E-3</v>
      </c>
      <c r="D52" s="20">
        <v>2.58E-2</v>
      </c>
      <c r="I52" s="5">
        <f t="shared" si="3"/>
        <v>2.47E-2</v>
      </c>
      <c r="J52" s="6">
        <f t="shared" si="4"/>
        <v>4.8053286943580834E-3</v>
      </c>
      <c r="K52" s="7">
        <f t="shared" si="5"/>
        <v>2.9624020313108623E-2</v>
      </c>
    </row>
    <row r="53" spans="1:11" x14ac:dyDescent="0.25">
      <c r="A53">
        <v>20132</v>
      </c>
      <c r="B53" s="19">
        <v>1.8100000000000002E-2</v>
      </c>
      <c r="C53" s="1">
        <v>-3.3E-3</v>
      </c>
      <c r="D53" s="20">
        <v>1.4800000000000001E-2</v>
      </c>
      <c r="I53" s="5">
        <f t="shared" si="3"/>
        <v>1.8100000000000002E-2</v>
      </c>
      <c r="J53" s="6">
        <f t="shared" si="4"/>
        <v>-1.1300141499182225E-2</v>
      </c>
      <c r="K53" s="7">
        <f t="shared" si="5"/>
        <v>6.5953259396824837E-3</v>
      </c>
    </row>
    <row r="54" spans="1:11" x14ac:dyDescent="0.25">
      <c r="A54">
        <v>20131</v>
      </c>
      <c r="B54" s="19">
        <v>1.9199999999999998E-2</v>
      </c>
      <c r="C54" s="1">
        <v>6.1999999999999998E-3</v>
      </c>
      <c r="D54" s="20">
        <v>2.5399999999999999E-2</v>
      </c>
      <c r="I54" s="5">
        <f t="shared" si="3"/>
        <v>1.9199999999999998E-2</v>
      </c>
      <c r="J54" s="6">
        <f t="shared" si="4"/>
        <v>7.5473922524938479E-3</v>
      </c>
      <c r="K54" s="7">
        <f t="shared" si="5"/>
        <v>2.6892302183741723E-2</v>
      </c>
    </row>
    <row r="55" spans="1:11" x14ac:dyDescent="0.25">
      <c r="A55">
        <v>20124</v>
      </c>
      <c r="B55" s="19">
        <v>2.0799999999999999E-2</v>
      </c>
      <c r="C55" s="1">
        <v>4.5999999999999999E-3</v>
      </c>
      <c r="D55" s="20">
        <v>2.53E-2</v>
      </c>
      <c r="I55" s="5">
        <f t="shared" si="3"/>
        <v>2.0799999999999999E-2</v>
      </c>
      <c r="J55" s="6">
        <f t="shared" si="4"/>
        <v>-1.4632651362223162E-3</v>
      </c>
      <c r="K55" s="7">
        <f t="shared" si="5"/>
        <v>1.9306298948944312E-2</v>
      </c>
    </row>
    <row r="56" spans="1:11" x14ac:dyDescent="0.25">
      <c r="A56">
        <v>20123</v>
      </c>
      <c r="B56" s="19">
        <v>2.12E-2</v>
      </c>
      <c r="C56" s="1">
        <v>1.18E-2</v>
      </c>
      <c r="D56" s="20">
        <v>3.3000000000000002E-2</v>
      </c>
      <c r="I56" s="5">
        <f t="shared" si="3"/>
        <v>2.12E-2</v>
      </c>
      <c r="J56" s="6">
        <f t="shared" si="4"/>
        <v>2.064226165699088E-2</v>
      </c>
      <c r="K56" s="7">
        <f t="shared" si="5"/>
        <v>4.2279877604119109E-2</v>
      </c>
    </row>
    <row r="57" spans="1:11" x14ac:dyDescent="0.25">
      <c r="A57">
        <v>20122</v>
      </c>
      <c r="B57" s="19">
        <v>1.8499999999999999E-2</v>
      </c>
      <c r="C57" s="1">
        <v>1.2999999999999999E-3</v>
      </c>
      <c r="D57" s="20">
        <v>1.9800000000000002E-2</v>
      </c>
      <c r="I57" s="5">
        <f t="shared" si="3"/>
        <v>1.8499999999999999E-2</v>
      </c>
      <c r="J57" s="6">
        <f t="shared" si="4"/>
        <v>-6.1948694044970326E-3</v>
      </c>
      <c r="K57" s="7">
        <f t="shared" si="5"/>
        <v>1.2190525511519779E-2</v>
      </c>
    </row>
    <row r="58" spans="1:11" x14ac:dyDescent="0.25">
      <c r="A58">
        <v>20121</v>
      </c>
      <c r="B58" s="19">
        <v>1.9900000000000001E-2</v>
      </c>
      <c r="C58" s="1">
        <v>1.0200000000000001E-2</v>
      </c>
      <c r="D58" s="20">
        <v>3.0200000000000001E-2</v>
      </c>
      <c r="I58" s="5">
        <f t="shared" si="3"/>
        <v>1.9900000000000001E-2</v>
      </c>
      <c r="J58" s="6">
        <f t="shared" si="4"/>
        <v>2.1147562051512522E-2</v>
      </c>
      <c r="K58" s="7">
        <f t="shared" si="5"/>
        <v>4.1468398536337547E-2</v>
      </c>
    </row>
    <row r="59" spans="1:11" x14ac:dyDescent="0.25">
      <c r="A59">
        <v>20114</v>
      </c>
      <c r="B59" s="19">
        <v>1.9599999999999999E-2</v>
      </c>
      <c r="C59" s="1">
        <v>-2.8E-3</v>
      </c>
      <c r="D59" s="20">
        <v>1.6899999999999998E-2</v>
      </c>
      <c r="I59" s="5">
        <f t="shared" si="3"/>
        <v>1.9599999999999999E-2</v>
      </c>
      <c r="J59" s="6">
        <f t="shared" si="4"/>
        <v>-3.9789682209321175E-3</v>
      </c>
      <c r="K59" s="7">
        <f t="shared" si="5"/>
        <v>1.5543044001937734E-2</v>
      </c>
    </row>
    <row r="60" spans="1:11" x14ac:dyDescent="0.25">
      <c r="A60">
        <v>20113</v>
      </c>
      <c r="B60" s="19">
        <v>1.8800000000000001E-2</v>
      </c>
      <c r="C60" s="1">
        <v>-1.4E-3</v>
      </c>
      <c r="D60" s="20">
        <v>1.7399999999999999E-2</v>
      </c>
      <c r="I60" s="5">
        <f t="shared" si="3"/>
        <v>1.8800000000000001E-2</v>
      </c>
      <c r="J60" s="6">
        <f t="shared" si="4"/>
        <v>-9.3159294834013594E-3</v>
      </c>
      <c r="K60" s="7">
        <f t="shared" si="5"/>
        <v>9.3089310423106753E-3</v>
      </c>
    </row>
    <row r="61" spans="1:11" x14ac:dyDescent="0.25">
      <c r="A61">
        <v>20112</v>
      </c>
      <c r="B61" s="19">
        <v>1.77E-2</v>
      </c>
      <c r="C61" s="1">
        <v>8.0000000000000002E-3</v>
      </c>
      <c r="D61" s="20">
        <v>2.5700000000000001E-2</v>
      </c>
      <c r="I61" s="5">
        <f t="shared" si="3"/>
        <v>1.77E-2</v>
      </c>
      <c r="J61" s="6">
        <f t="shared" si="4"/>
        <v>-2.1896539094847286E-3</v>
      </c>
      <c r="K61" s="7">
        <f t="shared" si="5"/>
        <v>1.5471589216317305E-2</v>
      </c>
    </row>
    <row r="62" spans="1:11" x14ac:dyDescent="0.25">
      <c r="A62">
        <v>20111</v>
      </c>
      <c r="B62" s="19">
        <v>1.9199999999999998E-2</v>
      </c>
      <c r="C62" s="1">
        <v>2.01E-2</v>
      </c>
      <c r="D62" s="20">
        <v>3.9300000000000002E-2</v>
      </c>
      <c r="I62" s="5">
        <f t="shared" si="3"/>
        <v>1.9199999999999998E-2</v>
      </c>
      <c r="J62" s="6">
        <f t="shared" si="4"/>
        <v>3.0037017862142135E-2</v>
      </c>
      <c r="K62" s="7">
        <f t="shared" si="5"/>
        <v>4.9813728605095253E-2</v>
      </c>
    </row>
    <row r="63" spans="1:11" x14ac:dyDescent="0.25">
      <c r="A63">
        <v>20104</v>
      </c>
      <c r="B63" s="19">
        <v>1.9099999999999999E-2</v>
      </c>
      <c r="C63" s="1">
        <v>8.3000000000000001E-3</v>
      </c>
      <c r="D63" s="20">
        <v>2.7400000000000001E-2</v>
      </c>
      <c r="I63" s="5">
        <f t="shared" si="3"/>
        <v>1.9099999999999999E-2</v>
      </c>
      <c r="J63" s="6">
        <f t="shared" si="4"/>
        <v>-3.4896822093211724E-3</v>
      </c>
      <c r="K63" s="7">
        <f t="shared" si="5"/>
        <v>1.5543664860480533E-2</v>
      </c>
    </row>
    <row r="64" spans="1:11" x14ac:dyDescent="0.25">
      <c r="A64">
        <v>20103</v>
      </c>
      <c r="B64" s="19">
        <v>1.7000000000000001E-2</v>
      </c>
      <c r="C64" s="1">
        <v>2.23E-2</v>
      </c>
      <c r="D64" s="20">
        <v>3.9199999999999999E-2</v>
      </c>
      <c r="I64" s="5">
        <f t="shared" si="3"/>
        <v>1.7000000000000001E-2</v>
      </c>
      <c r="J64" s="6">
        <f t="shared" si="4"/>
        <v>3.7121314777432336E-2</v>
      </c>
      <c r="K64" s="7">
        <f t="shared" si="5"/>
        <v>5.4752377128648444E-2</v>
      </c>
    </row>
    <row r="65" spans="1:11" x14ac:dyDescent="0.25">
      <c r="A65">
        <v>20102</v>
      </c>
      <c r="B65" s="19">
        <v>1.66E-2</v>
      </c>
      <c r="C65" s="1">
        <v>4.7000000000000002E-3</v>
      </c>
      <c r="D65" s="20">
        <v>2.1299999999999999E-2</v>
      </c>
      <c r="I65" s="5">
        <f t="shared" si="3"/>
        <v>1.66E-2</v>
      </c>
      <c r="J65" s="6">
        <f t="shared" si="4"/>
        <v>3.5210317790678835E-3</v>
      </c>
      <c r="K65" s="7">
        <f t="shared" si="5"/>
        <v>2.0179480906600489E-2</v>
      </c>
    </row>
    <row r="66" spans="1:11" x14ac:dyDescent="0.25">
      <c r="A66">
        <v>20101</v>
      </c>
      <c r="B66" s="19">
        <v>7.1999999999999998E-3</v>
      </c>
      <c r="C66" s="1">
        <v>6.1000000000000004E-3</v>
      </c>
      <c r="D66" s="20">
        <v>1.3299999999999999E-2</v>
      </c>
      <c r="I66" s="5">
        <f t="shared" si="3"/>
        <v>7.1999999999999998E-3</v>
      </c>
      <c r="J66" s="6">
        <f t="shared" si="4"/>
        <v>9.6712128980211309E-2</v>
      </c>
      <c r="K66" s="7">
        <f t="shared" si="5"/>
        <v>0.10460845630886895</v>
      </c>
    </row>
    <row r="67" spans="1:11" x14ac:dyDescent="0.25">
      <c r="A67">
        <v>20094</v>
      </c>
      <c r="B67" s="19">
        <v>1.6500000000000001E-2</v>
      </c>
      <c r="C67" s="1">
        <v>-0.10150000000000001</v>
      </c>
      <c r="D67" s="20">
        <v>-8.5000000000000006E-2</v>
      </c>
      <c r="I67" s="5">
        <f t="shared" si="3"/>
        <v>1.6500000000000001E-2</v>
      </c>
      <c r="J67" s="6">
        <f t="shared" si="4"/>
        <v>-0.17889084250261544</v>
      </c>
      <c r="K67" s="7">
        <f t="shared" si="5"/>
        <v>-0.16534254140390858</v>
      </c>
    </row>
    <row r="68" spans="1:11" x14ac:dyDescent="0.25">
      <c r="A68">
        <v>20093</v>
      </c>
      <c r="B68" s="19">
        <v>1.2800000000000001E-2</v>
      </c>
      <c r="C68" s="1">
        <v>-9.5999999999999992E-3</v>
      </c>
      <c r="D68" s="20">
        <v>3.2000000000000002E-3</v>
      </c>
      <c r="I68" s="5">
        <f t="shared" si="3"/>
        <v>1.2800000000000001E-2</v>
      </c>
      <c r="J68" s="6">
        <f t="shared" si="4"/>
        <v>6.9390870802451876E-2</v>
      </c>
      <c r="K68" s="7">
        <f t="shared" si="5"/>
        <v>8.3079073948723048E-2</v>
      </c>
    </row>
    <row r="69" spans="1:11" x14ac:dyDescent="0.25">
      <c r="A69">
        <v>20092</v>
      </c>
      <c r="B69" s="19">
        <v>1.38E-2</v>
      </c>
      <c r="C69" s="1">
        <v>-0.10340000000000001</v>
      </c>
      <c r="D69" s="20">
        <v>-8.9599999999999999E-2</v>
      </c>
      <c r="I69" s="5">
        <f t="shared" si="3"/>
        <v>1.38E-2</v>
      </c>
      <c r="J69" s="6">
        <f t="shared" si="4"/>
        <v>-0.16007468662052252</v>
      </c>
      <c r="K69" s="7">
        <f t="shared" si="5"/>
        <v>-0.14848371729588572</v>
      </c>
    </row>
    <row r="70" spans="1:11" x14ac:dyDescent="0.25">
      <c r="A70">
        <v>20091</v>
      </c>
      <c r="B70" s="19">
        <v>6.4000000000000003E-3</v>
      </c>
      <c r="C70" s="1">
        <v>-3.61E-2</v>
      </c>
      <c r="D70" s="20">
        <v>-2.9700000000000001E-2</v>
      </c>
      <c r="I70" s="5">
        <f t="shared" si="3"/>
        <v>6.4000000000000003E-3</v>
      </c>
      <c r="J70" s="6">
        <f t="shared" si="4"/>
        <v>4.5754079339001281E-2</v>
      </c>
      <c r="K70" s="7">
        <f t="shared" si="5"/>
        <v>5.2446905446770886E-2</v>
      </c>
    </row>
    <row r="71" spans="1:11" x14ac:dyDescent="0.25">
      <c r="A71">
        <v>20084</v>
      </c>
      <c r="B71" s="19">
        <v>1.54E-2</v>
      </c>
      <c r="C71" s="1">
        <v>-0.1333</v>
      </c>
      <c r="D71" s="20">
        <v>-0.1179</v>
      </c>
      <c r="I71" s="5">
        <f t="shared" ref="I71:I81" si="6">+B71</f>
        <v>1.54E-2</v>
      </c>
      <c r="J71" s="6">
        <f t="shared" ref="J71:J81" si="7">(C71-($C$2*C72))/(1-$C$2)</f>
        <v>-0.2412598042310696</v>
      </c>
      <c r="K71" s="7">
        <f t="shared" ref="K71:K81" si="8">(1+I71)*(1+J71)-1</f>
        <v>-0.2295752052162281</v>
      </c>
    </row>
    <row r="72" spans="1:11" x14ac:dyDescent="0.25">
      <c r="A72">
        <v>20083</v>
      </c>
      <c r="B72" s="19">
        <v>1.4E-2</v>
      </c>
      <c r="C72" s="1">
        <v>-5.1000000000000004E-3</v>
      </c>
      <c r="D72" s="20">
        <v>8.8999999999999999E-3</v>
      </c>
      <c r="I72" s="5">
        <f t="shared" si="6"/>
        <v>1.4E-2</v>
      </c>
      <c r="J72" s="6">
        <f t="shared" si="7"/>
        <v>1.2837159361324357E-2</v>
      </c>
      <c r="K72" s="7">
        <f t="shared" si="8"/>
        <v>2.7016879592382859E-2</v>
      </c>
    </row>
    <row r="73" spans="1:11" x14ac:dyDescent="0.25">
      <c r="A73">
        <v>20082</v>
      </c>
      <c r="B73" s="19">
        <v>1.5599999999999999E-2</v>
      </c>
      <c r="C73" s="1">
        <v>-2.64E-2</v>
      </c>
      <c r="D73" s="20">
        <v>-1.0800000000000001E-2</v>
      </c>
      <c r="I73" s="5">
        <f t="shared" si="6"/>
        <v>1.5599999999999999E-2</v>
      </c>
      <c r="J73" s="6">
        <f t="shared" si="7"/>
        <v>-5.040042449754667E-2</v>
      </c>
      <c r="K73" s="7">
        <f t="shared" si="8"/>
        <v>-3.5586671119708368E-2</v>
      </c>
    </row>
    <row r="74" spans="1:11" x14ac:dyDescent="0.25">
      <c r="A74">
        <v>20081</v>
      </c>
      <c r="B74" s="19">
        <v>2.7000000000000001E-3</v>
      </c>
      <c r="C74" s="1">
        <v>2.0999999999999999E-3</v>
      </c>
      <c r="D74" s="20">
        <v>4.8999999999999998E-3</v>
      </c>
      <c r="I74" s="5">
        <f t="shared" si="6"/>
        <v>2.7000000000000001E-3</v>
      </c>
      <c r="J74" s="6">
        <f t="shared" si="7"/>
        <v>-4.8895973098118375E-3</v>
      </c>
      <c r="K74" s="7">
        <f t="shared" si="8"/>
        <v>-2.2027992225484017E-3</v>
      </c>
    </row>
    <row r="75" spans="1:11" x14ac:dyDescent="0.25">
      <c r="A75">
        <v>20074</v>
      </c>
      <c r="B75" s="19">
        <v>1.46E-2</v>
      </c>
      <c r="C75" s="1">
        <v>1.04E-2</v>
      </c>
      <c r="D75" s="20">
        <v>2.5000000000000001E-2</v>
      </c>
      <c r="I75" s="5">
        <f t="shared" si="6"/>
        <v>1.46E-2</v>
      </c>
      <c r="J75" s="6">
        <f t="shared" si="7"/>
        <v>1.6042205057317988E-2</v>
      </c>
      <c r="K75" s="7">
        <f t="shared" si="8"/>
        <v>3.0876421251154751E-2</v>
      </c>
    </row>
    <row r="76" spans="1:11" x14ac:dyDescent="0.25">
      <c r="A76">
        <v>20073</v>
      </c>
      <c r="B76" s="19">
        <v>1.4500000000000001E-2</v>
      </c>
      <c r="C76" s="1">
        <v>3.7000000000000002E-3</v>
      </c>
      <c r="D76" s="20">
        <v>1.8200000000000001E-2</v>
      </c>
      <c r="I76" s="5">
        <f t="shared" si="6"/>
        <v>1.4500000000000001E-2</v>
      </c>
      <c r="J76" s="6">
        <f t="shared" si="7"/>
        <v>-3.7732311764185837E-2</v>
      </c>
      <c r="K76" s="7">
        <f t="shared" si="8"/>
        <v>-2.3779430284766478E-2</v>
      </c>
    </row>
    <row r="77" spans="1:11" x14ac:dyDescent="0.25">
      <c r="A77">
        <v>20072</v>
      </c>
      <c r="B77" s="19">
        <v>1.8700000000000001E-2</v>
      </c>
      <c r="C77" s="1">
        <v>5.2900000000000003E-2</v>
      </c>
      <c r="D77" s="20">
        <v>7.1499999999999994E-2</v>
      </c>
      <c r="I77" s="5">
        <f t="shared" si="6"/>
        <v>1.8700000000000001E-2</v>
      </c>
      <c r="J77" s="6">
        <f t="shared" si="7"/>
        <v>8.178472141283688E-2</v>
      </c>
      <c r="K77" s="7">
        <f t="shared" si="8"/>
        <v>0.10201409570325692</v>
      </c>
    </row>
    <row r="78" spans="1:11" x14ac:dyDescent="0.25">
      <c r="A78">
        <v>20071</v>
      </c>
      <c r="B78" s="19">
        <v>1.12E-2</v>
      </c>
      <c r="C78" s="1">
        <v>1.8599999999999998E-2</v>
      </c>
      <c r="D78" s="20">
        <v>2.98E-2</v>
      </c>
      <c r="I78" s="5">
        <f t="shared" si="6"/>
        <v>1.12E-2</v>
      </c>
      <c r="J78" s="6">
        <f t="shared" si="7"/>
        <v>-3.0411393184463734E-2</v>
      </c>
      <c r="K78" s="7">
        <f t="shared" si="8"/>
        <v>-1.9552000788129575E-2</v>
      </c>
    </row>
    <row r="79" spans="1:11" x14ac:dyDescent="0.25">
      <c r="A79">
        <v>20064</v>
      </c>
      <c r="B79" s="19">
        <v>2.3800000000000002E-2</v>
      </c>
      <c r="C79" s="1">
        <v>7.6799999999999993E-2</v>
      </c>
      <c r="D79" s="20">
        <v>0.10059999999999999</v>
      </c>
      <c r="I79" s="5">
        <f t="shared" si="6"/>
        <v>2.3800000000000002E-2</v>
      </c>
      <c r="J79" s="6">
        <f t="shared" si="7"/>
        <v>0.13465365484145461</v>
      </c>
      <c r="K79" s="7">
        <f t="shared" si="8"/>
        <v>0.16165841182668128</v>
      </c>
    </row>
    <row r="80" spans="1:11" x14ac:dyDescent="0.25">
      <c r="A80">
        <v>20063</v>
      </c>
      <c r="B80" s="19">
        <v>2.1499999999999998E-2</v>
      </c>
      <c r="C80" s="1">
        <v>8.0999999999999996E-3</v>
      </c>
      <c r="D80" s="20">
        <v>2.9600000000000001E-2</v>
      </c>
      <c r="I80" s="5">
        <f t="shared" si="6"/>
        <v>2.1499999999999998E-2</v>
      </c>
      <c r="J80" s="6">
        <f t="shared" si="7"/>
        <v>5.321003479231437E-3</v>
      </c>
      <c r="K80" s="7">
        <f t="shared" si="8"/>
        <v>2.6935405054035133E-2</v>
      </c>
    </row>
    <row r="81" spans="1:11" x14ac:dyDescent="0.25">
      <c r="A81">
        <v>20062</v>
      </c>
      <c r="B81" s="21">
        <v>2.7400000000000001E-2</v>
      </c>
      <c r="C81" s="22">
        <v>1.14E-2</v>
      </c>
      <c r="D81" s="23">
        <v>3.8899999999999997E-2</v>
      </c>
      <c r="I81" s="8">
        <f t="shared" si="6"/>
        <v>2.7400000000000001E-2</v>
      </c>
      <c r="J81" s="9">
        <f t="shared" si="7"/>
        <v>2.100016979901867E-2</v>
      </c>
      <c r="K81" s="10">
        <f t="shared" si="8"/>
        <v>4.8975574451511905E-2</v>
      </c>
    </row>
  </sheetData>
  <mergeCells count="8">
    <mergeCell ref="M3:N3"/>
    <mergeCell ref="M4:N4"/>
    <mergeCell ref="A1:B1"/>
    <mergeCell ref="A2:B2"/>
    <mergeCell ref="B5:D5"/>
    <mergeCell ref="F3:G3"/>
    <mergeCell ref="F4:G4"/>
    <mergeCell ref="I5:K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3"/>
  <sheetViews>
    <sheetView workbookViewId="0">
      <selection sqref="A1:B1"/>
    </sheetView>
  </sheetViews>
  <sheetFormatPr defaultRowHeight="15" x14ac:dyDescent="0.25"/>
  <cols>
    <col min="1" max="4" width="12.7109375" customWidth="1"/>
    <col min="5" max="5" width="4.7109375" customWidth="1"/>
    <col min="6" max="7" width="12.7109375" customWidth="1"/>
    <col min="8" max="8" width="4.7109375" customWidth="1"/>
    <col min="9" max="11" width="12.7109375" customWidth="1"/>
    <col min="12" max="12" width="4.7109375" customWidth="1"/>
    <col min="13" max="15" width="12.7109375" customWidth="1"/>
  </cols>
  <sheetData>
    <row r="1" spans="1:14" x14ac:dyDescent="0.25">
      <c r="A1" s="41" t="s">
        <v>17</v>
      </c>
      <c r="B1" s="40"/>
      <c r="C1" s="15" t="s">
        <v>10</v>
      </c>
    </row>
    <row r="2" spans="1:14" x14ac:dyDescent="0.25">
      <c r="A2" s="39" t="s">
        <v>18</v>
      </c>
      <c r="B2" s="40"/>
      <c r="C2" s="18">
        <f>CORREL(C7:C81,C9:C83)</f>
        <v>0.59465820479690423</v>
      </c>
    </row>
    <row r="3" spans="1:14" x14ac:dyDescent="0.25">
      <c r="F3" s="36" t="s">
        <v>1</v>
      </c>
      <c r="G3" s="35"/>
      <c r="M3" s="36" t="s">
        <v>19</v>
      </c>
      <c r="N3" s="35"/>
    </row>
    <row r="4" spans="1:14" x14ac:dyDescent="0.25">
      <c r="F4" s="37">
        <f>STDEV(D7:D83)*SQRT(4)</f>
        <v>8.4101628460895084E-2</v>
      </c>
      <c r="G4" s="38"/>
      <c r="M4" s="37">
        <f>STDEV(K7:K83)*SQRT(4)</f>
        <v>0.15417380228553659</v>
      </c>
      <c r="N4" s="38"/>
    </row>
    <row r="5" spans="1:14" x14ac:dyDescent="0.25">
      <c r="B5" s="33" t="s">
        <v>20</v>
      </c>
      <c r="C5" s="34"/>
      <c r="D5" s="35"/>
      <c r="I5" s="33" t="s">
        <v>21</v>
      </c>
      <c r="J5" s="34"/>
      <c r="K5" s="35"/>
    </row>
    <row r="6" spans="1:14" x14ac:dyDescent="0.25">
      <c r="B6" s="2" t="s">
        <v>22</v>
      </c>
      <c r="C6" s="3" t="s">
        <v>23</v>
      </c>
      <c r="D6" s="4" t="s">
        <v>24</v>
      </c>
      <c r="I6" s="12" t="s">
        <v>22</v>
      </c>
      <c r="J6" s="13" t="s">
        <v>23</v>
      </c>
      <c r="K6" s="14" t="s">
        <v>24</v>
      </c>
    </row>
    <row r="7" spans="1:14" x14ac:dyDescent="0.25">
      <c r="A7">
        <v>20244</v>
      </c>
      <c r="B7" s="5">
        <v>1.1599999999999999E-2</v>
      </c>
      <c r="C7" s="6">
        <v>-2.24E-2</v>
      </c>
      <c r="D7" s="7">
        <v>-1.0800000000000001E-2</v>
      </c>
      <c r="I7" s="5">
        <f t="shared" ref="I7:I38" si="0">+B7</f>
        <v>1.1599999999999999E-2</v>
      </c>
      <c r="J7" s="6">
        <f t="shared" ref="J7:J38" si="1">(C7-($C$2*C8))/(1-$C$2)</f>
        <v>-2.1959883871956291E-2</v>
      </c>
      <c r="K7" s="7">
        <f t="shared" ref="K7:K38" si="2">(1+I7)*(1+J7)-1</f>
        <v>-1.0614618524870889E-2</v>
      </c>
    </row>
    <row r="8" spans="1:14" x14ac:dyDescent="0.25">
      <c r="A8">
        <v>20243</v>
      </c>
      <c r="B8" s="5">
        <v>1.2800000000000001E-2</v>
      </c>
      <c r="C8" s="6">
        <v>-2.2700000000000001E-2</v>
      </c>
      <c r="D8" s="7">
        <v>-9.9000000000000008E-3</v>
      </c>
      <c r="I8" s="5">
        <f t="shared" si="0"/>
        <v>1.2800000000000001E-2</v>
      </c>
      <c r="J8" s="6">
        <f t="shared" si="1"/>
        <v>-1.8298838719562945E-2</v>
      </c>
      <c r="K8" s="7">
        <f t="shared" si="2"/>
        <v>-5.7330638551734703E-3</v>
      </c>
    </row>
    <row r="9" spans="1:14" x14ac:dyDescent="0.25">
      <c r="A9">
        <v>20242</v>
      </c>
      <c r="B9" s="5">
        <v>1.15E-2</v>
      </c>
      <c r="C9" s="6">
        <v>-2.5700000000000001E-2</v>
      </c>
      <c r="D9" s="7">
        <v>-1.4200000000000001E-2</v>
      </c>
      <c r="I9" s="5">
        <f t="shared" si="0"/>
        <v>1.15E-2</v>
      </c>
      <c r="J9" s="6">
        <f t="shared" si="1"/>
        <v>-2.5205505896981608E-3</v>
      </c>
      <c r="K9" s="7">
        <f t="shared" si="2"/>
        <v>8.950463078520432E-3</v>
      </c>
    </row>
    <row r="10" spans="1:14" x14ac:dyDescent="0.25">
      <c r="A10">
        <v>20241</v>
      </c>
      <c r="B10" s="5">
        <v>1.14E-2</v>
      </c>
      <c r="C10" s="6">
        <v>-4.1500000000000002E-2</v>
      </c>
      <c r="D10" s="7">
        <v>-3.0099999999999998E-2</v>
      </c>
      <c r="I10" s="5">
        <f t="shared" si="0"/>
        <v>1.14E-2</v>
      </c>
      <c r="J10" s="6">
        <f t="shared" si="1"/>
        <v>-4.2086821504058285E-2</v>
      </c>
      <c r="K10" s="7">
        <f t="shared" si="2"/>
        <v>-3.1166611269204503E-2</v>
      </c>
    </row>
    <row r="11" spans="1:14" x14ac:dyDescent="0.25">
      <c r="A11">
        <v>20234</v>
      </c>
      <c r="B11" s="5">
        <v>9.4999999999999998E-3</v>
      </c>
      <c r="C11" s="6">
        <v>-4.1099999999999998E-2</v>
      </c>
      <c r="D11" s="7">
        <v>-3.15E-2</v>
      </c>
      <c r="I11" s="5">
        <f t="shared" si="0"/>
        <v>9.4999999999999998E-3</v>
      </c>
      <c r="J11" s="6">
        <f t="shared" si="1"/>
        <v>-7.1908128963059398E-2</v>
      </c>
      <c r="K11" s="7">
        <f t="shared" si="2"/>
        <v>-6.3091256188208433E-2</v>
      </c>
    </row>
    <row r="12" spans="1:14" x14ac:dyDescent="0.25">
      <c r="A12">
        <v>20233</v>
      </c>
      <c r="B12" s="5">
        <v>9.4999999999999998E-3</v>
      </c>
      <c r="C12" s="6">
        <v>-2.01E-2</v>
      </c>
      <c r="D12" s="7">
        <v>-1.06E-2</v>
      </c>
      <c r="I12" s="5">
        <f t="shared" si="0"/>
        <v>9.4999999999999998E-3</v>
      </c>
      <c r="J12" s="6">
        <f t="shared" si="1"/>
        <v>-1.8486240863839744E-2</v>
      </c>
      <c r="K12" s="7">
        <f t="shared" si="2"/>
        <v>-9.1618601520462306E-3</v>
      </c>
    </row>
    <row r="13" spans="1:14" x14ac:dyDescent="0.25">
      <c r="A13">
        <v>20232</v>
      </c>
      <c r="B13" s="5">
        <v>9.4000000000000004E-3</v>
      </c>
      <c r="C13" s="6">
        <v>-2.12E-2</v>
      </c>
      <c r="D13" s="7">
        <v>-1.18E-2</v>
      </c>
      <c r="I13" s="5">
        <f t="shared" si="0"/>
        <v>9.4000000000000004E-3</v>
      </c>
      <c r="J13" s="6">
        <f t="shared" si="1"/>
        <v>-9.023453790790812E-3</v>
      </c>
      <c r="K13" s="7">
        <f t="shared" si="2"/>
        <v>2.9172574357572145E-4</v>
      </c>
    </row>
    <row r="14" spans="1:14" x14ac:dyDescent="0.25">
      <c r="A14">
        <v>20231</v>
      </c>
      <c r="B14" s="5">
        <v>9.1000000000000004E-3</v>
      </c>
      <c r="C14" s="6">
        <v>-2.9499999999999998E-2</v>
      </c>
      <c r="D14" s="7">
        <v>-2.0299999999999999E-2</v>
      </c>
      <c r="I14" s="5">
        <f t="shared" si="0"/>
        <v>9.1000000000000004E-3</v>
      </c>
      <c r="J14" s="6">
        <f t="shared" si="1"/>
        <v>-2.5685660223621214E-2</v>
      </c>
      <c r="K14" s="7">
        <f t="shared" si="2"/>
        <v>-1.6819399731656026E-2</v>
      </c>
    </row>
    <row r="15" spans="1:14" x14ac:dyDescent="0.25">
      <c r="A15">
        <v>20224</v>
      </c>
      <c r="B15" s="5">
        <v>8.8000000000000005E-3</v>
      </c>
      <c r="C15" s="6">
        <v>-3.2099999999999997E-2</v>
      </c>
      <c r="D15" s="7">
        <v>-2.3300000000000001E-2</v>
      </c>
      <c r="I15" s="5">
        <f t="shared" si="0"/>
        <v>8.8000000000000005E-3</v>
      </c>
      <c r="J15" s="6">
        <f t="shared" si="1"/>
        <v>-9.3129436422060521E-2</v>
      </c>
      <c r="K15" s="7">
        <f t="shared" si="2"/>
        <v>-8.5148975462574716E-2</v>
      </c>
    </row>
    <row r="16" spans="1:14" x14ac:dyDescent="0.25">
      <c r="A16">
        <v>20223</v>
      </c>
      <c r="B16" s="5">
        <v>8.0000000000000002E-3</v>
      </c>
      <c r="C16" s="6">
        <v>9.4999999999999998E-3</v>
      </c>
      <c r="D16" s="7">
        <v>1.7500000000000002E-2</v>
      </c>
      <c r="I16" s="5">
        <f t="shared" si="0"/>
        <v>8.0000000000000002E-3</v>
      </c>
      <c r="J16" s="6">
        <f t="shared" si="1"/>
        <v>-2.6736227875598449E-2</v>
      </c>
      <c r="K16" s="7">
        <f t="shared" si="2"/>
        <v>-1.8950117698603219E-2</v>
      </c>
    </row>
    <row r="17" spans="1:11" x14ac:dyDescent="0.25">
      <c r="A17">
        <v>20222</v>
      </c>
      <c r="B17" s="5">
        <v>8.8999999999999999E-3</v>
      </c>
      <c r="C17" s="6">
        <v>3.4200000000000001E-2</v>
      </c>
      <c r="D17" s="7">
        <v>4.3099999999999999E-2</v>
      </c>
      <c r="I17" s="5">
        <f t="shared" si="0"/>
        <v>8.8999999999999999E-3</v>
      </c>
      <c r="J17" s="6">
        <f t="shared" si="1"/>
        <v>3.4786821504058284E-2</v>
      </c>
      <c r="K17" s="7">
        <f t="shared" si="2"/>
        <v>4.3996424215444252E-2</v>
      </c>
    </row>
    <row r="18" spans="1:11" x14ac:dyDescent="0.25">
      <c r="A18">
        <v>20221</v>
      </c>
      <c r="B18" s="5">
        <v>8.6E-3</v>
      </c>
      <c r="C18" s="6">
        <v>3.3799999999999997E-2</v>
      </c>
      <c r="D18" s="7">
        <v>4.24E-2</v>
      </c>
      <c r="I18" s="5">
        <f t="shared" si="0"/>
        <v>8.6E-3</v>
      </c>
      <c r="J18" s="6">
        <f t="shared" si="1"/>
        <v>1.1647488221800138E-2</v>
      </c>
      <c r="K18" s="7">
        <f t="shared" si="2"/>
        <v>2.0347656620507415E-2</v>
      </c>
    </row>
    <row r="19" spans="1:11" x14ac:dyDescent="0.25">
      <c r="A19">
        <v>20214</v>
      </c>
      <c r="B19" s="5">
        <v>8.8000000000000005E-3</v>
      </c>
      <c r="C19" s="6">
        <v>4.8899999999999999E-2</v>
      </c>
      <c r="D19" s="7">
        <v>5.7799999999999997E-2</v>
      </c>
      <c r="I19" s="5">
        <f t="shared" si="0"/>
        <v>8.8000000000000005E-3</v>
      </c>
      <c r="J19" s="6">
        <f t="shared" si="1"/>
        <v>3.7016864542819945E-2</v>
      </c>
      <c r="K19" s="7">
        <f t="shared" si="2"/>
        <v>4.6142612950796691E-2</v>
      </c>
    </row>
    <row r="20" spans="1:11" x14ac:dyDescent="0.25">
      <c r="A20">
        <v>20213</v>
      </c>
      <c r="B20" s="5">
        <v>9.7000000000000003E-3</v>
      </c>
      <c r="C20" s="6">
        <v>5.7000000000000002E-2</v>
      </c>
      <c r="D20" s="7">
        <v>6.6699999999999995E-2</v>
      </c>
      <c r="I20" s="5">
        <f t="shared" si="0"/>
        <v>9.7000000000000003E-3</v>
      </c>
      <c r="J20" s="6">
        <f t="shared" si="1"/>
        <v>7.2844180609573414E-2</v>
      </c>
      <c r="K20" s="7">
        <f t="shared" si="2"/>
        <v>8.3250769161486327E-2</v>
      </c>
    </row>
    <row r="21" spans="1:11" x14ac:dyDescent="0.25">
      <c r="A21">
        <v>20212</v>
      </c>
      <c r="B21" s="5">
        <v>9.7999999999999997E-3</v>
      </c>
      <c r="C21" s="6">
        <v>4.6199999999999998E-2</v>
      </c>
      <c r="D21" s="7">
        <v>5.6000000000000001E-2</v>
      </c>
      <c r="I21" s="5">
        <f t="shared" si="0"/>
        <v>9.7999999999999997E-3</v>
      </c>
      <c r="J21" s="6">
        <f t="shared" si="1"/>
        <v>6.8939333282258125E-2</v>
      </c>
      <c r="K21" s="7">
        <f t="shared" si="2"/>
        <v>7.9414938748424202E-2</v>
      </c>
    </row>
    <row r="22" spans="1:11" x14ac:dyDescent="0.25">
      <c r="A22">
        <v>20211</v>
      </c>
      <c r="B22" s="5">
        <v>0.01</v>
      </c>
      <c r="C22" s="6">
        <v>3.0700000000000002E-2</v>
      </c>
      <c r="D22" s="7">
        <v>4.07E-2</v>
      </c>
      <c r="I22" s="5">
        <f t="shared" si="0"/>
        <v>0.01</v>
      </c>
      <c r="J22" s="6">
        <f t="shared" si="1"/>
        <v>1.7789926910717967E-2</v>
      </c>
      <c r="K22" s="7">
        <f t="shared" si="2"/>
        <v>2.7967826179825295E-2</v>
      </c>
    </row>
    <row r="23" spans="1:11" x14ac:dyDescent="0.25">
      <c r="A23">
        <v>20204</v>
      </c>
      <c r="B23" s="5">
        <v>1.03E-2</v>
      </c>
      <c r="C23" s="6">
        <v>3.95E-2</v>
      </c>
      <c r="D23" s="7">
        <v>4.9799999999999997E-2</v>
      </c>
      <c r="I23" s="5">
        <f t="shared" si="0"/>
        <v>1.03E-2</v>
      </c>
      <c r="J23" s="6">
        <f t="shared" si="1"/>
        <v>6.9868012835015703E-2</v>
      </c>
      <c r="K23" s="7">
        <f t="shared" si="2"/>
        <v>8.0887653367216483E-2</v>
      </c>
    </row>
    <row r="24" spans="1:11" x14ac:dyDescent="0.25">
      <c r="A24">
        <v>20203</v>
      </c>
      <c r="B24" s="5">
        <v>1.1599999999999999E-2</v>
      </c>
      <c r="C24" s="6">
        <v>1.8800000000000001E-2</v>
      </c>
      <c r="D24" s="7">
        <v>3.04E-2</v>
      </c>
      <c r="I24" s="5">
        <f t="shared" si="0"/>
        <v>1.1599999999999999E-2</v>
      </c>
      <c r="J24" s="6">
        <f t="shared" si="1"/>
        <v>2.9069376321019802E-2</v>
      </c>
      <c r="K24" s="7">
        <f t="shared" si="2"/>
        <v>4.1006581086343807E-2</v>
      </c>
    </row>
    <row r="25" spans="1:11" x14ac:dyDescent="0.25">
      <c r="A25">
        <v>20202</v>
      </c>
      <c r="B25" s="5">
        <v>1.11E-2</v>
      </c>
      <c r="C25" s="6">
        <v>1.18E-2</v>
      </c>
      <c r="D25" s="7">
        <v>2.2800000000000001E-2</v>
      </c>
      <c r="I25" s="5">
        <f t="shared" si="0"/>
        <v>1.11E-2</v>
      </c>
      <c r="J25" s="6">
        <f t="shared" si="1"/>
        <v>-2.0915298851248799E-2</v>
      </c>
      <c r="K25" s="7">
        <f t="shared" si="2"/>
        <v>-1.0047458668497544E-2</v>
      </c>
    </row>
    <row r="26" spans="1:11" x14ac:dyDescent="0.25">
      <c r="A26">
        <v>20201</v>
      </c>
      <c r="B26" s="5">
        <v>1.14E-2</v>
      </c>
      <c r="C26" s="6">
        <v>3.4099999999999998E-2</v>
      </c>
      <c r="D26" s="7">
        <v>4.5600000000000002E-2</v>
      </c>
      <c r="I26" s="5">
        <f t="shared" si="0"/>
        <v>1.14E-2</v>
      </c>
      <c r="J26" s="6">
        <f t="shared" si="1"/>
        <v>5.9626735426534933E-2</v>
      </c>
      <c r="K26" s="7">
        <f t="shared" si="2"/>
        <v>7.1706480210397494E-2</v>
      </c>
    </row>
    <row r="27" spans="1:11" x14ac:dyDescent="0.25">
      <c r="A27">
        <v>20194</v>
      </c>
      <c r="B27" s="5">
        <v>1.17E-2</v>
      </c>
      <c r="C27" s="6">
        <v>1.67E-2</v>
      </c>
      <c r="D27" s="7">
        <v>2.8400000000000002E-2</v>
      </c>
      <c r="I27" s="5">
        <f t="shared" si="0"/>
        <v>1.17E-2</v>
      </c>
      <c r="J27" s="6">
        <f t="shared" si="1"/>
        <v>1.2885660223621215E-2</v>
      </c>
      <c r="K27" s="7">
        <f t="shared" si="2"/>
        <v>2.4736422448237594E-2</v>
      </c>
    </row>
    <row r="28" spans="1:11" x14ac:dyDescent="0.25">
      <c r="A28">
        <v>20193</v>
      </c>
      <c r="B28" s="5">
        <v>1.12E-2</v>
      </c>
      <c r="C28" s="6">
        <v>1.9300000000000001E-2</v>
      </c>
      <c r="D28" s="7">
        <v>3.0499999999999999E-2</v>
      </c>
      <c r="I28" s="5">
        <f t="shared" si="0"/>
        <v>1.12E-2</v>
      </c>
      <c r="J28" s="6">
        <f t="shared" si="1"/>
        <v>2.0620348384131119E-2</v>
      </c>
      <c r="K28" s="7">
        <f t="shared" si="2"/>
        <v>3.2051296286033537E-2</v>
      </c>
    </row>
    <row r="29" spans="1:11" x14ac:dyDescent="0.25">
      <c r="A29">
        <v>20192</v>
      </c>
      <c r="B29" s="5">
        <v>1.12E-2</v>
      </c>
      <c r="C29" s="6">
        <v>1.84E-2</v>
      </c>
      <c r="D29" s="7">
        <v>2.9700000000000001E-2</v>
      </c>
      <c r="I29" s="5">
        <f t="shared" si="0"/>
        <v>1.12E-2</v>
      </c>
      <c r="J29" s="6">
        <f t="shared" si="1"/>
        <v>1.8693410752029134E-2</v>
      </c>
      <c r="K29" s="7">
        <f t="shared" si="2"/>
        <v>3.0102776952452004E-2</v>
      </c>
    </row>
    <row r="30" spans="1:11" x14ac:dyDescent="0.25">
      <c r="A30">
        <v>20191</v>
      </c>
      <c r="B30" s="5">
        <v>1.0500000000000001E-2</v>
      </c>
      <c r="C30" s="6">
        <v>1.8200000000000001E-2</v>
      </c>
      <c r="D30" s="7">
        <v>2.87E-2</v>
      </c>
      <c r="I30" s="5">
        <f t="shared" si="0"/>
        <v>1.0500000000000001E-2</v>
      </c>
      <c r="J30" s="6">
        <f t="shared" si="1"/>
        <v>1.1744963455358984E-2</v>
      </c>
      <c r="K30" s="7">
        <f t="shared" si="2"/>
        <v>2.2368285571640278E-2</v>
      </c>
    </row>
    <row r="31" spans="1:11" x14ac:dyDescent="0.25">
      <c r="A31">
        <v>20184</v>
      </c>
      <c r="B31" s="5">
        <v>1.0999999999999999E-2</v>
      </c>
      <c r="C31" s="6">
        <v>2.2599999999999999E-2</v>
      </c>
      <c r="D31" s="7">
        <v>3.3599999999999998E-2</v>
      </c>
      <c r="I31" s="5">
        <f t="shared" si="0"/>
        <v>1.0999999999999999E-2</v>
      </c>
      <c r="J31" s="6">
        <f t="shared" si="1"/>
        <v>3.4923251585223761E-2</v>
      </c>
      <c r="K31" s="7">
        <f t="shared" si="2"/>
        <v>4.6307407352661256E-2</v>
      </c>
    </row>
    <row r="32" spans="1:11" x14ac:dyDescent="0.25">
      <c r="A32">
        <v>20183</v>
      </c>
      <c r="B32" s="5">
        <v>1.0699999999999999E-2</v>
      </c>
      <c r="C32" s="6">
        <v>1.4200000000000001E-2</v>
      </c>
      <c r="D32" s="7">
        <v>2.4899999999999999E-2</v>
      </c>
      <c r="I32" s="5">
        <f t="shared" si="0"/>
        <v>1.0699999999999999E-2</v>
      </c>
      <c r="J32" s="6">
        <f t="shared" si="1"/>
        <v>-2.0715879491467325E-2</v>
      </c>
      <c r="K32" s="7">
        <f t="shared" si="2"/>
        <v>-1.0237539402026097E-2</v>
      </c>
    </row>
    <row r="33" spans="1:11" x14ac:dyDescent="0.25">
      <c r="A33">
        <v>20182</v>
      </c>
      <c r="B33" s="5">
        <v>1.11E-2</v>
      </c>
      <c r="C33" s="6">
        <v>3.7999999999999999E-2</v>
      </c>
      <c r="D33" s="7">
        <v>4.9099999999999998E-2</v>
      </c>
      <c r="I33" s="5">
        <f t="shared" si="0"/>
        <v>1.11E-2</v>
      </c>
      <c r="J33" s="6">
        <f t="shared" si="1"/>
        <v>8.0837969796254031E-2</v>
      </c>
      <c r="K33" s="7">
        <f t="shared" si="2"/>
        <v>9.2835271260992558E-2</v>
      </c>
    </row>
    <row r="34" spans="1:11" x14ac:dyDescent="0.25">
      <c r="A34">
        <v>20181</v>
      </c>
      <c r="B34" s="5">
        <v>1.14E-2</v>
      </c>
      <c r="C34" s="6">
        <v>8.8000000000000005E-3</v>
      </c>
      <c r="D34" s="7">
        <v>2.0199999999999999E-2</v>
      </c>
      <c r="I34" s="5">
        <f t="shared" si="0"/>
        <v>1.14E-2</v>
      </c>
      <c r="J34" s="6">
        <f t="shared" si="1"/>
        <v>-1.6160816970343722E-3</v>
      </c>
      <c r="K34" s="7">
        <f t="shared" si="2"/>
        <v>9.7654949716194928E-3</v>
      </c>
    </row>
    <row r="35" spans="1:11" x14ac:dyDescent="0.25">
      <c r="A35">
        <v>20174</v>
      </c>
      <c r="B35" s="5">
        <v>1.0500000000000001E-2</v>
      </c>
      <c r="C35" s="6">
        <v>1.5900000000000001E-2</v>
      </c>
      <c r="D35" s="7">
        <v>2.64E-2</v>
      </c>
      <c r="I35" s="5">
        <f t="shared" si="0"/>
        <v>1.0500000000000001E-2</v>
      </c>
      <c r="J35" s="6">
        <f t="shared" si="1"/>
        <v>1.8540696768262237E-2</v>
      </c>
      <c r="K35" s="7">
        <f t="shared" si="2"/>
        <v>2.9235374084328969E-2</v>
      </c>
    </row>
    <row r="36" spans="1:11" x14ac:dyDescent="0.25">
      <c r="A36">
        <v>20173</v>
      </c>
      <c r="B36" s="5">
        <v>1.15E-2</v>
      </c>
      <c r="C36" s="6">
        <v>1.41E-2</v>
      </c>
      <c r="D36" s="7">
        <v>2.5600000000000001E-2</v>
      </c>
      <c r="I36" s="5">
        <f t="shared" si="0"/>
        <v>1.15E-2</v>
      </c>
      <c r="J36" s="6">
        <f t="shared" si="1"/>
        <v>1.5273643008116547E-2</v>
      </c>
      <c r="K36" s="7">
        <f t="shared" si="2"/>
        <v>2.694928990270995E-2</v>
      </c>
    </row>
    <row r="37" spans="1:11" x14ac:dyDescent="0.25">
      <c r="A37">
        <v>20172</v>
      </c>
      <c r="B37" s="5">
        <v>1.17E-2</v>
      </c>
      <c r="C37" s="6">
        <v>1.3299999999999999E-2</v>
      </c>
      <c r="D37" s="7">
        <v>2.5000000000000001E-2</v>
      </c>
      <c r="I37" s="5">
        <f t="shared" si="0"/>
        <v>1.17E-2</v>
      </c>
      <c r="J37" s="6">
        <f t="shared" si="1"/>
        <v>2.0341858048699292E-2</v>
      </c>
      <c r="K37" s="7">
        <f t="shared" si="2"/>
        <v>3.2279857787869126E-2</v>
      </c>
    </row>
    <row r="38" spans="1:11" x14ac:dyDescent="0.25">
      <c r="A38">
        <v>20171</v>
      </c>
      <c r="B38" s="5">
        <v>1.1900000000000001E-2</v>
      </c>
      <c r="C38" s="6">
        <v>8.5000000000000006E-3</v>
      </c>
      <c r="D38" s="7">
        <v>2.0400000000000001E-2</v>
      </c>
      <c r="I38" s="5">
        <f t="shared" si="0"/>
        <v>1.1900000000000001E-2</v>
      </c>
      <c r="J38" s="6">
        <f t="shared" si="1"/>
        <v>-7.4243868891782036E-4</v>
      </c>
      <c r="K38" s="7">
        <f t="shared" si="2"/>
        <v>1.1148726290684197E-2</v>
      </c>
    </row>
    <row r="39" spans="1:11" x14ac:dyDescent="0.25">
      <c r="A39">
        <v>20164</v>
      </c>
      <c r="B39" s="5">
        <v>1.18E-2</v>
      </c>
      <c r="C39" s="6">
        <v>1.4800000000000001E-2</v>
      </c>
      <c r="D39" s="7">
        <v>2.6499999999999999E-2</v>
      </c>
      <c r="I39" s="5">
        <f t="shared" ref="I39:I70" si="3">+B39</f>
        <v>1.18E-2</v>
      </c>
      <c r="J39" s="6">
        <f t="shared" ref="J39:J70" si="4">(C39-($C$2*C40))/(1-$C$2)</f>
        <v>2.6096313953121782E-2</v>
      </c>
      <c r="K39" s="7">
        <f t="shared" ref="K39:K70" si="5">(1+I39)*(1+J39)-1</f>
        <v>3.8204250457768651E-2</v>
      </c>
    </row>
    <row r="40" spans="1:11" x14ac:dyDescent="0.25">
      <c r="A40">
        <v>20163</v>
      </c>
      <c r="B40" s="5">
        <v>1.11E-2</v>
      </c>
      <c r="C40" s="6">
        <v>7.1000000000000004E-3</v>
      </c>
      <c r="D40" s="7">
        <v>1.8200000000000001E-2</v>
      </c>
      <c r="I40" s="5">
        <f t="shared" si="3"/>
        <v>1.11E-2</v>
      </c>
      <c r="J40" s="6">
        <f t="shared" si="4"/>
        <v>3.8724817276794927E-3</v>
      </c>
      <c r="K40" s="7">
        <f t="shared" si="5"/>
        <v>1.5015466274856726E-2</v>
      </c>
    </row>
    <row r="41" spans="1:11" x14ac:dyDescent="0.25">
      <c r="A41">
        <v>20162</v>
      </c>
      <c r="B41" s="5">
        <v>1.11E-2</v>
      </c>
      <c r="C41" s="6">
        <v>9.2999999999999992E-3</v>
      </c>
      <c r="D41" s="7">
        <v>2.0400000000000001E-2</v>
      </c>
      <c r="I41" s="5">
        <f t="shared" si="3"/>
        <v>1.11E-2</v>
      </c>
      <c r="J41" s="6">
        <f t="shared" si="4"/>
        <v>-2.2681771971175956E-2</v>
      </c>
      <c r="K41" s="7">
        <f t="shared" si="5"/>
        <v>-1.1833539640055846E-2</v>
      </c>
    </row>
    <row r="42" spans="1:11" x14ac:dyDescent="0.25">
      <c r="A42">
        <v>20161</v>
      </c>
      <c r="B42" s="5">
        <v>1.2999999999999999E-2</v>
      </c>
      <c r="C42" s="6">
        <v>3.1099999999999999E-2</v>
      </c>
      <c r="D42" s="7">
        <v>4.41E-2</v>
      </c>
      <c r="I42" s="5">
        <f t="shared" si="3"/>
        <v>1.2999999999999999E-2</v>
      </c>
      <c r="J42" s="6">
        <f t="shared" si="4"/>
        <v>1.6122194210717027E-3</v>
      </c>
      <c r="K42" s="7">
        <f t="shared" si="5"/>
        <v>1.46331782735456E-2</v>
      </c>
    </row>
    <row r="43" spans="1:11" x14ac:dyDescent="0.25">
      <c r="A43">
        <v>20154</v>
      </c>
      <c r="B43" s="5">
        <v>1.1599999999999999E-2</v>
      </c>
      <c r="C43" s="6">
        <v>5.1200000000000002E-2</v>
      </c>
      <c r="D43" s="7">
        <v>6.2799999999999995E-2</v>
      </c>
      <c r="I43" s="5">
        <f t="shared" si="3"/>
        <v>1.1599999999999999E-2</v>
      </c>
      <c r="J43" s="6">
        <f t="shared" si="4"/>
        <v>0.10489416762133212</v>
      </c>
      <c r="K43" s="7">
        <f t="shared" si="5"/>
        <v>0.11771093996573967</v>
      </c>
    </row>
    <row r="44" spans="1:11" x14ac:dyDescent="0.25">
      <c r="A44">
        <v>20153</v>
      </c>
      <c r="B44" s="5">
        <v>1.15E-2</v>
      </c>
      <c r="C44" s="6">
        <v>1.46E-2</v>
      </c>
      <c r="D44" s="7">
        <v>2.6100000000000002E-2</v>
      </c>
      <c r="I44" s="5">
        <f t="shared" si="3"/>
        <v>1.15E-2</v>
      </c>
      <c r="J44" s="6">
        <f t="shared" si="4"/>
        <v>-5.3519311379813268E-3</v>
      </c>
      <c r="K44" s="7">
        <f t="shared" si="5"/>
        <v>6.0865216539318645E-3</v>
      </c>
    </row>
    <row r="45" spans="1:11" x14ac:dyDescent="0.25">
      <c r="A45">
        <v>20152</v>
      </c>
      <c r="B45" s="5">
        <v>1.15E-2</v>
      </c>
      <c r="C45" s="6">
        <v>2.8199999999999999E-2</v>
      </c>
      <c r="D45" s="7">
        <v>3.9699999999999999E-2</v>
      </c>
      <c r="I45" s="5">
        <f t="shared" si="3"/>
        <v>1.15E-2</v>
      </c>
      <c r="J45" s="6">
        <f t="shared" si="4"/>
        <v>4.6684877377835644E-2</v>
      </c>
      <c r="K45" s="7">
        <f t="shared" si="5"/>
        <v>5.8721753467680937E-2</v>
      </c>
    </row>
    <row r="46" spans="1:11" x14ac:dyDescent="0.25">
      <c r="A46">
        <v>20151</v>
      </c>
      <c r="B46" s="5">
        <v>1.24E-2</v>
      </c>
      <c r="C46" s="6">
        <v>1.5599999999999999E-2</v>
      </c>
      <c r="D46" s="7">
        <v>2.8000000000000001E-2</v>
      </c>
      <c r="I46" s="5">
        <f t="shared" si="3"/>
        <v>1.24E-2</v>
      </c>
      <c r="J46" s="6">
        <f t="shared" si="4"/>
        <v>1.0758722591519236E-2</v>
      </c>
      <c r="K46" s="7">
        <f t="shared" si="5"/>
        <v>2.3292130751654039E-2</v>
      </c>
    </row>
    <row r="47" spans="1:11" x14ac:dyDescent="0.25">
      <c r="A47">
        <v>20144</v>
      </c>
      <c r="B47" s="5">
        <v>1.14E-2</v>
      </c>
      <c r="C47" s="6">
        <v>1.89E-2</v>
      </c>
      <c r="D47" s="7">
        <v>3.0300000000000001E-2</v>
      </c>
      <c r="I47" s="5">
        <f t="shared" si="3"/>
        <v>1.14E-2</v>
      </c>
      <c r="J47" s="6">
        <f t="shared" si="4"/>
        <v>-2.5189848981270152E-3</v>
      </c>
      <c r="K47" s="7">
        <f t="shared" si="5"/>
        <v>8.8522986740344756E-3</v>
      </c>
    </row>
    <row r="48" spans="1:11" x14ac:dyDescent="0.25">
      <c r="A48">
        <v>20143</v>
      </c>
      <c r="B48" s="5">
        <v>1.11E-2</v>
      </c>
      <c r="C48" s="6">
        <v>3.3500000000000002E-2</v>
      </c>
      <c r="D48" s="7">
        <v>4.4600000000000001E-2</v>
      </c>
      <c r="I48" s="5">
        <f t="shared" si="3"/>
        <v>1.11E-2</v>
      </c>
      <c r="J48" s="6">
        <f t="shared" si="4"/>
        <v>4.9344180609573414E-2</v>
      </c>
      <c r="K48" s="7">
        <f t="shared" si="5"/>
        <v>6.0991901014339822E-2</v>
      </c>
    </row>
    <row r="49" spans="1:11" x14ac:dyDescent="0.25">
      <c r="A49">
        <v>20142</v>
      </c>
      <c r="B49" s="5">
        <v>2.2100000000000002E-2</v>
      </c>
      <c r="C49" s="6">
        <v>2.2700000000000001E-2</v>
      </c>
      <c r="D49" s="7">
        <v>4.4699999999999997E-2</v>
      </c>
      <c r="I49" s="5">
        <f t="shared" si="3"/>
        <v>2.2100000000000002E-2</v>
      </c>
      <c r="J49" s="6">
        <f t="shared" si="4"/>
        <v>6.2457156899948095E-2</v>
      </c>
      <c r="K49" s="7">
        <f t="shared" si="5"/>
        <v>8.5937460067436966E-2</v>
      </c>
    </row>
    <row r="50" spans="1:11" x14ac:dyDescent="0.25">
      <c r="A50">
        <v>20141</v>
      </c>
      <c r="B50" s="5">
        <v>1.49E-2</v>
      </c>
      <c r="C50" s="6">
        <v>-4.4000000000000003E-3</v>
      </c>
      <c r="D50" s="7">
        <v>1.04E-2</v>
      </c>
      <c r="I50" s="5">
        <f t="shared" si="3"/>
        <v>1.49E-2</v>
      </c>
      <c r="J50" s="6">
        <f t="shared" si="4"/>
        <v>-8.8011612804370573E-3</v>
      </c>
      <c r="K50" s="7">
        <f t="shared" si="5"/>
        <v>5.9677014164842834E-3</v>
      </c>
    </row>
    <row r="51" spans="1:11" x14ac:dyDescent="0.25">
      <c r="A51">
        <v>20134</v>
      </c>
      <c r="B51" s="5">
        <v>1.34E-2</v>
      </c>
      <c r="C51" s="6">
        <v>-1.4E-3</v>
      </c>
      <c r="D51" s="7">
        <v>1.1900000000000001E-2</v>
      </c>
      <c r="I51" s="5">
        <f t="shared" si="3"/>
        <v>1.34E-2</v>
      </c>
      <c r="J51" s="6">
        <f t="shared" si="4"/>
        <v>-3.8076344003642154E-2</v>
      </c>
      <c r="K51" s="7">
        <f t="shared" si="5"/>
        <v>-2.5186567013290806E-2</v>
      </c>
    </row>
    <row r="52" spans="1:11" x14ac:dyDescent="0.25">
      <c r="A52">
        <v>20133</v>
      </c>
      <c r="B52" s="5">
        <v>1.38E-2</v>
      </c>
      <c r="C52" s="6">
        <v>2.3599999999999999E-2</v>
      </c>
      <c r="D52" s="7">
        <v>3.7400000000000003E-2</v>
      </c>
      <c r="I52" s="5">
        <f t="shared" si="3"/>
        <v>1.38E-2</v>
      </c>
      <c r="J52" s="6">
        <f t="shared" si="4"/>
        <v>3.7977126849427723E-2</v>
      </c>
      <c r="K52" s="7">
        <f t="shared" si="5"/>
        <v>5.2301211199949904E-2</v>
      </c>
    </row>
    <row r="53" spans="1:11" x14ac:dyDescent="0.25">
      <c r="A53">
        <v>20132</v>
      </c>
      <c r="B53" s="5">
        <v>1.38E-2</v>
      </c>
      <c r="C53" s="6">
        <v>1.38E-2</v>
      </c>
      <c r="D53" s="7">
        <v>2.75E-2</v>
      </c>
      <c r="I53" s="5">
        <f t="shared" si="3"/>
        <v>1.38E-2</v>
      </c>
      <c r="J53" s="6">
        <f t="shared" si="4"/>
        <v>2.9057359105515133E-2</v>
      </c>
      <c r="K53" s="7">
        <f t="shared" si="5"/>
        <v>4.3258350661171452E-2</v>
      </c>
    </row>
    <row r="54" spans="1:11" x14ac:dyDescent="0.25">
      <c r="A54">
        <v>20131</v>
      </c>
      <c r="B54" s="5">
        <v>1.3899999999999999E-2</v>
      </c>
      <c r="C54" s="6">
        <v>3.3999999999999998E-3</v>
      </c>
      <c r="D54" s="7">
        <v>1.7399999999999999E-2</v>
      </c>
      <c r="I54" s="5">
        <f t="shared" si="3"/>
        <v>1.3899999999999999E-2</v>
      </c>
      <c r="J54" s="6">
        <f t="shared" si="4"/>
        <v>-3.4303281635744129E-2</v>
      </c>
      <c r="K54" s="7">
        <f t="shared" si="5"/>
        <v>-2.0880097250481011E-2</v>
      </c>
    </row>
    <row r="55" spans="1:11" x14ac:dyDescent="0.25">
      <c r="A55">
        <v>20124</v>
      </c>
      <c r="B55" s="5">
        <v>1.34E-2</v>
      </c>
      <c r="C55" s="6">
        <v>2.9100000000000001E-2</v>
      </c>
      <c r="D55" s="7">
        <v>4.2500000000000003E-2</v>
      </c>
      <c r="I55" s="5">
        <f t="shared" si="3"/>
        <v>1.34E-2</v>
      </c>
      <c r="J55" s="6">
        <f t="shared" si="4"/>
        <v>1.3726839332465325E-3</v>
      </c>
      <c r="K55" s="7">
        <f t="shared" si="5"/>
        <v>1.4791077897952309E-2</v>
      </c>
    </row>
    <row r="56" spans="1:11" x14ac:dyDescent="0.25">
      <c r="A56">
        <v>20123</v>
      </c>
      <c r="B56" s="5">
        <v>1.47E-2</v>
      </c>
      <c r="C56" s="6">
        <v>4.8000000000000001E-2</v>
      </c>
      <c r="D56" s="7">
        <v>6.2700000000000006E-2</v>
      </c>
      <c r="I56" s="5">
        <f t="shared" si="3"/>
        <v>1.47E-2</v>
      </c>
      <c r="J56" s="6">
        <f t="shared" si="4"/>
        <v>9.2305023556399718E-2</v>
      </c>
      <c r="K56" s="7">
        <f t="shared" si="5"/>
        <v>0.1083619074026787</v>
      </c>
    </row>
    <row r="57" spans="1:11" x14ac:dyDescent="0.25">
      <c r="A57">
        <v>20122</v>
      </c>
      <c r="B57" s="5">
        <v>1.5800000000000002E-2</v>
      </c>
      <c r="C57" s="6">
        <v>1.78E-2</v>
      </c>
      <c r="D57" s="7">
        <v>3.3599999999999998E-2</v>
      </c>
      <c r="I57" s="5">
        <f t="shared" si="3"/>
        <v>1.5800000000000002E-2</v>
      </c>
      <c r="J57" s="6">
        <f t="shared" si="4"/>
        <v>9.2888175832461046E-4</v>
      </c>
      <c r="K57" s="7">
        <f t="shared" si="5"/>
        <v>1.6743558090106081E-2</v>
      </c>
    </row>
    <row r="58" spans="1:11" x14ac:dyDescent="0.25">
      <c r="A58">
        <v>20121</v>
      </c>
      <c r="B58" s="5">
        <v>1.7000000000000001E-2</v>
      </c>
      <c r="C58" s="6">
        <v>2.93E-2</v>
      </c>
      <c r="D58" s="7">
        <v>4.6399999999999997E-2</v>
      </c>
      <c r="I58" s="5">
        <f t="shared" si="3"/>
        <v>1.7000000000000001E-2</v>
      </c>
      <c r="J58" s="6">
        <f t="shared" si="4"/>
        <v>1.2792731812173953E-3</v>
      </c>
      <c r="K58" s="7">
        <f t="shared" si="5"/>
        <v>1.8301020825298053E-2</v>
      </c>
    </row>
    <row r="59" spans="1:11" x14ac:dyDescent="0.25">
      <c r="A59">
        <v>20114</v>
      </c>
      <c r="B59" s="5">
        <v>1.5699999999999999E-2</v>
      </c>
      <c r="C59" s="6">
        <v>4.8399999999999999E-2</v>
      </c>
      <c r="D59" s="7">
        <v>6.4100000000000004E-2</v>
      </c>
      <c r="I59" s="5">
        <f t="shared" si="3"/>
        <v>1.5699999999999999E-2</v>
      </c>
      <c r="J59" s="6">
        <f t="shared" si="4"/>
        <v>7.055251177819985E-2</v>
      </c>
      <c r="K59" s="7">
        <f t="shared" si="5"/>
        <v>8.7360186213117474E-2</v>
      </c>
    </row>
    <row r="60" spans="1:11" x14ac:dyDescent="0.25">
      <c r="A60">
        <v>20113</v>
      </c>
      <c r="B60" s="5">
        <v>1.5800000000000002E-2</v>
      </c>
      <c r="C60" s="6">
        <v>3.3300000000000003E-2</v>
      </c>
      <c r="D60" s="7">
        <v>4.9000000000000002E-2</v>
      </c>
      <c r="I60" s="5">
        <f t="shared" si="3"/>
        <v>1.5800000000000002E-2</v>
      </c>
      <c r="J60" s="6">
        <f t="shared" si="4"/>
        <v>-3.2570713830541297E-2</v>
      </c>
      <c r="K60" s="7">
        <f t="shared" si="5"/>
        <v>-1.7285331109063828E-2</v>
      </c>
    </row>
    <row r="61" spans="1:11" x14ac:dyDescent="0.25">
      <c r="A61">
        <v>20112</v>
      </c>
      <c r="B61" s="5">
        <v>1.6500000000000001E-2</v>
      </c>
      <c r="C61" s="6">
        <v>7.8200000000000006E-2</v>
      </c>
      <c r="D61" s="7">
        <v>9.4700000000000006E-2</v>
      </c>
      <c r="I61" s="5">
        <f t="shared" si="3"/>
        <v>1.6500000000000001E-2</v>
      </c>
      <c r="J61" s="6">
        <f t="shared" si="4"/>
        <v>9.8005225761966783E-2</v>
      </c>
      <c r="K61" s="7">
        <f t="shared" si="5"/>
        <v>0.11612231198703915</v>
      </c>
    </row>
    <row r="62" spans="1:11" x14ac:dyDescent="0.25">
      <c r="A62">
        <v>20111</v>
      </c>
      <c r="B62" s="5">
        <v>1.8499999999999999E-2</v>
      </c>
      <c r="C62" s="6">
        <v>6.4699999999999994E-2</v>
      </c>
      <c r="D62" s="7">
        <v>8.3199999999999996E-2</v>
      </c>
      <c r="I62" s="5">
        <f t="shared" si="3"/>
        <v>1.8499999999999999E-2</v>
      </c>
      <c r="J62" s="6">
        <f t="shared" si="4"/>
        <v>0.1496424127124352</v>
      </c>
      <c r="K62" s="7">
        <f t="shared" si="5"/>
        <v>0.17091079734761516</v>
      </c>
    </row>
    <row r="63" spans="1:11" x14ac:dyDescent="0.25">
      <c r="A63">
        <v>20104</v>
      </c>
      <c r="B63" s="5">
        <v>2.8799999999999999E-2</v>
      </c>
      <c r="C63" s="6">
        <v>6.7999999999999996E-3</v>
      </c>
      <c r="D63" s="7">
        <v>3.56E-2</v>
      </c>
      <c r="I63" s="5">
        <f t="shared" si="3"/>
        <v>2.8799999999999999E-2</v>
      </c>
      <c r="J63" s="6">
        <f t="shared" si="4"/>
        <v>-4.4986997733142714E-2</v>
      </c>
      <c r="K63" s="7">
        <f t="shared" si="5"/>
        <v>-1.7482623267857322E-2</v>
      </c>
    </row>
    <row r="64" spans="1:11" x14ac:dyDescent="0.25">
      <c r="A64">
        <v>20103</v>
      </c>
      <c r="B64" s="5">
        <v>1.9300000000000001E-2</v>
      </c>
      <c r="C64" s="6">
        <v>4.2099999999999999E-2</v>
      </c>
      <c r="D64" s="7">
        <v>6.1400000000000003E-2</v>
      </c>
      <c r="I64" s="5">
        <f t="shared" si="3"/>
        <v>1.9300000000000001E-2</v>
      </c>
      <c r="J64" s="6">
        <f t="shared" si="4"/>
        <v>0.14684763847440196</v>
      </c>
      <c r="K64" s="7">
        <f t="shared" si="5"/>
        <v>0.16898179789695811</v>
      </c>
    </row>
    <row r="65" spans="1:11" x14ac:dyDescent="0.25">
      <c r="A65">
        <v>20102</v>
      </c>
      <c r="B65" s="5">
        <v>4.41E-2</v>
      </c>
      <c r="C65" s="6">
        <v>-2.93E-2</v>
      </c>
      <c r="D65" s="7">
        <v>1.4800000000000001E-2</v>
      </c>
      <c r="I65" s="5">
        <f t="shared" si="3"/>
        <v>4.41E-2</v>
      </c>
      <c r="J65" s="6">
        <f t="shared" si="4"/>
        <v>-1.7856980670863647E-2</v>
      </c>
      <c r="K65" s="7">
        <f t="shared" si="5"/>
        <v>2.5455526481551249E-2</v>
      </c>
    </row>
    <row r="66" spans="1:11" x14ac:dyDescent="0.25">
      <c r="A66">
        <v>20101</v>
      </c>
      <c r="B66" s="5">
        <v>2.3800000000000002E-2</v>
      </c>
      <c r="C66" s="6">
        <v>-3.7100000000000001E-2</v>
      </c>
      <c r="D66" s="7">
        <v>-1.32E-2</v>
      </c>
      <c r="I66" s="5">
        <f t="shared" si="3"/>
        <v>2.3800000000000002E-2</v>
      </c>
      <c r="J66" s="6">
        <f t="shared" si="4"/>
        <v>-2.9911436575286138E-2</v>
      </c>
      <c r="K66" s="7">
        <f t="shared" si="5"/>
        <v>-6.8233287657779584E-3</v>
      </c>
    </row>
    <row r="67" spans="1:11" x14ac:dyDescent="0.25">
      <c r="A67">
        <v>20094</v>
      </c>
      <c r="B67" s="5">
        <v>2.1700000000000001E-2</v>
      </c>
      <c r="C67" s="6">
        <v>-4.2000000000000003E-2</v>
      </c>
      <c r="D67" s="7">
        <v>-2.0299999999999999E-2</v>
      </c>
      <c r="I67" s="5">
        <f t="shared" si="3"/>
        <v>2.1700000000000001E-2</v>
      </c>
      <c r="J67" s="6">
        <f t="shared" si="4"/>
        <v>-5.3296313953121795E-2</v>
      </c>
      <c r="K67" s="7">
        <f t="shared" si="5"/>
        <v>-3.2752843965904499E-2</v>
      </c>
    </row>
    <row r="68" spans="1:11" x14ac:dyDescent="0.25">
      <c r="A68">
        <v>20093</v>
      </c>
      <c r="B68" s="5">
        <v>2.4500000000000001E-2</v>
      </c>
      <c r="C68" s="6">
        <v>-3.4299999999999997E-2</v>
      </c>
      <c r="D68" s="7">
        <v>-9.7999999999999997E-3</v>
      </c>
      <c r="I68" s="5">
        <f t="shared" si="3"/>
        <v>2.4500000000000001E-2</v>
      </c>
      <c r="J68" s="6">
        <f t="shared" si="4"/>
        <v>0.14614761249791938</v>
      </c>
      <c r="K68" s="7">
        <f t="shared" si="5"/>
        <v>0.17422822900411838</v>
      </c>
    </row>
    <row r="69" spans="1:11" x14ac:dyDescent="0.25">
      <c r="A69">
        <v>20092</v>
      </c>
      <c r="B69" s="5">
        <v>1.8499999999999999E-2</v>
      </c>
      <c r="C69" s="6">
        <v>-0.1573</v>
      </c>
      <c r="D69" s="7">
        <v>-0.13880000000000001</v>
      </c>
      <c r="I69" s="5">
        <f t="shared" si="3"/>
        <v>1.8499999999999999E-2</v>
      </c>
      <c r="J69" s="6">
        <f t="shared" si="4"/>
        <v>-0.18737460208298654</v>
      </c>
      <c r="K69" s="7">
        <f t="shared" si="5"/>
        <v>-0.17234103222152175</v>
      </c>
    </row>
    <row r="70" spans="1:11" x14ac:dyDescent="0.25">
      <c r="A70">
        <v>20091</v>
      </c>
      <c r="B70" s="5">
        <v>1.7600000000000001E-2</v>
      </c>
      <c r="C70" s="6">
        <v>-0.1368</v>
      </c>
      <c r="D70" s="7">
        <v>-0.1191</v>
      </c>
      <c r="I70" s="5">
        <f t="shared" si="3"/>
        <v>1.7600000000000001E-2</v>
      </c>
      <c r="J70" s="6">
        <f t="shared" si="4"/>
        <v>-0.19313486438959437</v>
      </c>
      <c r="K70" s="7">
        <f t="shared" si="5"/>
        <v>-0.17893403800285124</v>
      </c>
    </row>
    <row r="71" spans="1:11" x14ac:dyDescent="0.25">
      <c r="A71">
        <v>20084</v>
      </c>
      <c r="B71" s="5">
        <v>1.47E-2</v>
      </c>
      <c r="C71" s="6">
        <v>-9.8400000000000001E-2</v>
      </c>
      <c r="D71" s="7">
        <v>-8.3699999999999997E-2</v>
      </c>
      <c r="I71" s="5">
        <f t="shared" ref="I71:I83" si="6">+B71</f>
        <v>1.47E-2</v>
      </c>
      <c r="J71" s="6">
        <f t="shared" ref="J71:J83" si="7">(C71-($C$2*C72))/(1-$C$2)</f>
        <v>-0.23160848142122831</v>
      </c>
      <c r="K71" s="7">
        <f t="shared" ref="K71:K83" si="8">(1+I71)*(1+J71)-1</f>
        <v>-0.22031312609812037</v>
      </c>
    </row>
    <row r="72" spans="1:11" x14ac:dyDescent="0.25">
      <c r="A72">
        <v>20083</v>
      </c>
      <c r="B72" s="5">
        <v>1.83E-2</v>
      </c>
      <c r="C72" s="6">
        <v>-7.6E-3</v>
      </c>
      <c r="D72" s="7">
        <v>1.06E-2</v>
      </c>
      <c r="I72" s="5">
        <f t="shared" si="6"/>
        <v>1.83E-2</v>
      </c>
      <c r="J72" s="6">
        <f t="shared" si="7"/>
        <v>1.9540494562695191E-2</v>
      </c>
      <c r="K72" s="7">
        <f t="shared" si="8"/>
        <v>3.819808561319249E-2</v>
      </c>
    </row>
    <row r="73" spans="1:11" x14ac:dyDescent="0.25">
      <c r="A73">
        <v>20082</v>
      </c>
      <c r="B73" s="5">
        <v>1.49E-2</v>
      </c>
      <c r="C73" s="6">
        <v>-2.6100000000000002E-2</v>
      </c>
      <c r="D73" s="7">
        <v>-1.1299999999999999E-2</v>
      </c>
      <c r="I73" s="5">
        <f t="shared" si="6"/>
        <v>1.49E-2</v>
      </c>
      <c r="J73" s="6">
        <f t="shared" si="7"/>
        <v>-6.3509870883715E-2</v>
      </c>
      <c r="K73" s="7">
        <f t="shared" si="8"/>
        <v>-4.955616795988238E-2</v>
      </c>
    </row>
    <row r="74" spans="1:11" x14ac:dyDescent="0.25">
      <c r="A74">
        <v>20081</v>
      </c>
      <c r="B74" s="5">
        <v>1.4200000000000001E-2</v>
      </c>
      <c r="C74" s="6">
        <v>-5.9999999999999995E-4</v>
      </c>
      <c r="D74" s="7">
        <v>1.3599999999999999E-2</v>
      </c>
      <c r="I74" s="5">
        <f t="shared" si="6"/>
        <v>1.4200000000000001E-2</v>
      </c>
      <c r="J74" s="6">
        <f t="shared" si="7"/>
        <v>-9.3024386889178218E-2</v>
      </c>
      <c r="K74" s="7">
        <f t="shared" si="8"/>
        <v>-8.0145333183004541E-2</v>
      </c>
    </row>
    <row r="75" spans="1:11" x14ac:dyDescent="0.25">
      <c r="A75">
        <v>20074</v>
      </c>
      <c r="B75" s="5">
        <v>1.52E-2</v>
      </c>
      <c r="C75" s="6">
        <v>6.2399999999999997E-2</v>
      </c>
      <c r="D75" s="7">
        <v>7.7499999999999999E-2</v>
      </c>
      <c r="I75" s="5">
        <f t="shared" si="6"/>
        <v>1.52E-2</v>
      </c>
      <c r="J75" s="6">
        <f t="shared" si="7"/>
        <v>0.10670502355639971</v>
      </c>
      <c r="K75" s="7">
        <f t="shared" si="8"/>
        <v>0.12352693991445718</v>
      </c>
    </row>
    <row r="76" spans="1:11" x14ac:dyDescent="0.25">
      <c r="A76">
        <v>20073</v>
      </c>
      <c r="B76" s="5">
        <v>1.3899999999999999E-2</v>
      </c>
      <c r="C76" s="6">
        <v>3.2199999999999999E-2</v>
      </c>
      <c r="D76" s="7">
        <v>4.5999999999999999E-2</v>
      </c>
      <c r="I76" s="5">
        <f t="shared" si="6"/>
        <v>1.3899999999999999E-2</v>
      </c>
      <c r="J76" s="6">
        <f t="shared" si="7"/>
        <v>-8.0469728779188704E-2</v>
      </c>
      <c r="K76" s="7">
        <f t="shared" si="8"/>
        <v>-6.7688258009219404E-2</v>
      </c>
    </row>
    <row r="77" spans="1:11" x14ac:dyDescent="0.25">
      <c r="A77">
        <v>20072</v>
      </c>
      <c r="B77" s="5">
        <v>1.6199999999999999E-2</v>
      </c>
      <c r="C77" s="6">
        <v>0.109</v>
      </c>
      <c r="D77" s="7">
        <v>0.12520000000000001</v>
      </c>
      <c r="I77" s="5">
        <f t="shared" si="6"/>
        <v>1.6199999999999999E-2</v>
      </c>
      <c r="J77" s="6">
        <f t="shared" si="7"/>
        <v>0.19599628797663918</v>
      </c>
      <c r="K77" s="7">
        <f t="shared" si="8"/>
        <v>0.21537142784186081</v>
      </c>
    </row>
    <row r="78" spans="1:11" x14ac:dyDescent="0.25">
      <c r="A78">
        <v>20071</v>
      </c>
      <c r="B78" s="5">
        <v>1.7100000000000001E-2</v>
      </c>
      <c r="C78" s="6">
        <v>4.9700000000000001E-2</v>
      </c>
      <c r="D78" s="7">
        <v>6.6799999999999998E-2</v>
      </c>
      <c r="I78" s="5">
        <f t="shared" si="6"/>
        <v>1.7100000000000001E-2</v>
      </c>
      <c r="J78" s="6">
        <f t="shared" si="7"/>
        <v>-1.8664705222788958E-2</v>
      </c>
      <c r="K78" s="7">
        <f t="shared" si="8"/>
        <v>-1.8838716820988033E-3</v>
      </c>
    </row>
    <row r="79" spans="1:11" x14ac:dyDescent="0.25">
      <c r="A79">
        <v>20064</v>
      </c>
      <c r="B79" s="5">
        <v>2.2800000000000001E-2</v>
      </c>
      <c r="C79" s="6">
        <v>9.6299999999999997E-2</v>
      </c>
      <c r="D79" s="7">
        <v>0.1191</v>
      </c>
      <c r="I79" s="5">
        <f t="shared" si="6"/>
        <v>2.2800000000000001E-2</v>
      </c>
      <c r="J79" s="6">
        <f t="shared" si="7"/>
        <v>0.23875092011014612</v>
      </c>
      <c r="K79" s="7">
        <f t="shared" si="8"/>
        <v>0.26699444108865733</v>
      </c>
    </row>
    <row r="80" spans="1:11" x14ac:dyDescent="0.25">
      <c r="A80">
        <v>20063</v>
      </c>
      <c r="B80" s="5">
        <v>1.7999999999999999E-2</v>
      </c>
      <c r="C80" s="6">
        <v>-8.0000000000000004E-4</v>
      </c>
      <c r="D80" s="7">
        <v>1.72E-2</v>
      </c>
      <c r="I80" s="5">
        <f t="shared" si="6"/>
        <v>1.7999999999999999E-2</v>
      </c>
      <c r="J80" s="6">
        <f t="shared" si="7"/>
        <v>-3.9970335395889817E-2</v>
      </c>
      <c r="K80" s="7">
        <f t="shared" si="8"/>
        <v>-2.2689801433015799E-2</v>
      </c>
    </row>
    <row r="81" spans="1:11" x14ac:dyDescent="0.25">
      <c r="A81">
        <v>20062</v>
      </c>
      <c r="B81" s="5">
        <v>1.95E-2</v>
      </c>
      <c r="C81" s="6">
        <v>2.5899999999999999E-2</v>
      </c>
      <c r="D81" s="7">
        <v>4.5400000000000003E-2</v>
      </c>
      <c r="I81" s="5">
        <f t="shared" si="6"/>
        <v>1.95E-2</v>
      </c>
      <c r="J81" s="6">
        <f t="shared" si="7"/>
        <v>-8.5757633634236212E-3</v>
      </c>
      <c r="K81" s="7">
        <f t="shared" si="8"/>
        <v>1.0757009250989658E-2</v>
      </c>
    </row>
    <row r="82" spans="1:11" x14ac:dyDescent="0.25">
      <c r="A82">
        <v>20061</v>
      </c>
      <c r="B82" s="5">
        <v>0.02</v>
      </c>
      <c r="C82" s="6">
        <v>4.9399999999999999E-2</v>
      </c>
      <c r="D82" s="7">
        <v>6.9400000000000003E-2</v>
      </c>
      <c r="I82" s="5">
        <f t="shared" si="6"/>
        <v>0.02</v>
      </c>
      <c r="J82" s="6">
        <f t="shared" si="7"/>
        <v>7.5953673058636914E-2</v>
      </c>
      <c r="K82" s="7">
        <f t="shared" si="8"/>
        <v>9.747274651980975E-2</v>
      </c>
    </row>
    <row r="83" spans="1:11" x14ac:dyDescent="0.25">
      <c r="A83">
        <v>20054</v>
      </c>
      <c r="B83" s="8">
        <v>2.3400000000000001E-2</v>
      </c>
      <c r="C83" s="9">
        <v>3.1300000000000001E-2</v>
      </c>
      <c r="D83" s="10">
        <v>5.4600000000000003E-2</v>
      </c>
      <c r="I83" s="8">
        <f t="shared" si="6"/>
        <v>2.3400000000000001E-2</v>
      </c>
      <c r="J83" s="9">
        <f t="shared" si="7"/>
        <v>7.7218782692559981E-2</v>
      </c>
      <c r="K83" s="10">
        <f t="shared" si="8"/>
        <v>0.10242570220756586</v>
      </c>
    </row>
  </sheetData>
  <mergeCells count="8">
    <mergeCell ref="M3:N3"/>
    <mergeCell ref="M4:N4"/>
    <mergeCell ref="A1:B1"/>
    <mergeCell ref="A2:B2"/>
    <mergeCell ref="B5:D5"/>
    <mergeCell ref="F3:G3"/>
    <mergeCell ref="F4:G4"/>
    <mergeCell ref="I5:K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9"/>
  <sheetViews>
    <sheetView workbookViewId="0">
      <selection sqref="A1:B1"/>
    </sheetView>
  </sheetViews>
  <sheetFormatPr defaultRowHeight="15" x14ac:dyDescent="0.25"/>
  <cols>
    <col min="1" max="4" width="12.7109375" customWidth="1"/>
    <col min="5" max="5" width="4.7109375" customWidth="1"/>
    <col min="6" max="7" width="12.7109375" customWidth="1"/>
    <col min="8" max="8" width="4.7109375" customWidth="1"/>
    <col min="9" max="11" width="12.7109375" customWidth="1"/>
    <col min="12" max="12" width="4.7109375" customWidth="1"/>
    <col min="13" max="16" width="12.7109375" customWidth="1"/>
  </cols>
  <sheetData>
    <row r="1" spans="1:14" x14ac:dyDescent="0.25">
      <c r="A1" s="41" t="s">
        <v>17</v>
      </c>
      <c r="B1" s="40"/>
      <c r="C1" s="15" t="s">
        <v>25</v>
      </c>
    </row>
    <row r="2" spans="1:14" x14ac:dyDescent="0.25">
      <c r="A2" s="39" t="s">
        <v>18</v>
      </c>
      <c r="B2" s="40"/>
      <c r="C2" s="18">
        <f>CORREL(C7:C16,C9:C18)</f>
        <v>0.45810749896695574</v>
      </c>
    </row>
    <row r="3" spans="1:14" x14ac:dyDescent="0.25">
      <c r="F3" s="36" t="s">
        <v>1</v>
      </c>
      <c r="G3" s="35"/>
      <c r="M3" s="36" t="s">
        <v>19</v>
      </c>
      <c r="N3" s="35"/>
    </row>
    <row r="4" spans="1:14" x14ac:dyDescent="0.25">
      <c r="F4" s="37">
        <f>STDEV(D7:D18)*SQRT(4)</f>
        <v>3.2507490978187947E-2</v>
      </c>
      <c r="G4" s="38"/>
      <c r="M4" s="37">
        <f>STDEV(K7:K18)*SQRT(4)</f>
        <v>7.8458687205422706E-2</v>
      </c>
      <c r="N4" s="38"/>
    </row>
    <row r="5" spans="1:14" x14ac:dyDescent="0.25">
      <c r="B5" s="33" t="s">
        <v>20</v>
      </c>
      <c r="C5" s="34"/>
      <c r="D5" s="35"/>
      <c r="I5" s="33" t="s">
        <v>21</v>
      </c>
      <c r="J5" s="34"/>
      <c r="K5" s="35"/>
    </row>
    <row r="6" spans="1:14" x14ac:dyDescent="0.25">
      <c r="B6" s="2" t="s">
        <v>22</v>
      </c>
      <c r="C6" s="3" t="s">
        <v>23</v>
      </c>
      <c r="D6" s="4" t="s">
        <v>24</v>
      </c>
      <c r="I6" s="12" t="s">
        <v>22</v>
      </c>
      <c r="J6" s="13" t="s">
        <v>23</v>
      </c>
      <c r="K6" s="14" t="s">
        <v>24</v>
      </c>
      <c r="M6" s="29" cm="1">
        <f t="array" ref="M6">(PRODUCT(1 + K7:K86)^(1/20)) - 1</f>
        <v>1.3032576149341502E-2</v>
      </c>
    </row>
    <row r="7" spans="1:14" x14ac:dyDescent="0.25">
      <c r="A7">
        <v>20244</v>
      </c>
      <c r="B7" s="5">
        <v>7.6E-3</v>
      </c>
      <c r="C7" s="6">
        <v>1.89E-2</v>
      </c>
      <c r="D7" s="7">
        <v>2.6499999999999999E-2</v>
      </c>
      <c r="I7" s="5">
        <f t="shared" ref="I7:I18" si="0">+B7</f>
        <v>7.6E-3</v>
      </c>
      <c r="J7" s="6">
        <f t="shared" ref="J7:J18" si="1">(C7-($C$2*C8))/(1-$C$2)</f>
        <v>8.6708480428627516E-3</v>
      </c>
      <c r="K7" s="7">
        <f t="shared" ref="K7:K18" si="2">(1+I7)*(1+J7)-1</f>
        <v>1.6336746487988663E-2</v>
      </c>
    </row>
    <row r="8" spans="1:14" x14ac:dyDescent="0.25">
      <c r="A8">
        <v>20243</v>
      </c>
      <c r="B8" s="5">
        <v>8.6E-3</v>
      </c>
      <c r="C8" s="6">
        <v>3.1E-2</v>
      </c>
      <c r="D8" s="7">
        <v>3.9600000000000003E-2</v>
      </c>
      <c r="I8" s="5">
        <f t="shared" si="0"/>
        <v>8.6E-3</v>
      </c>
      <c r="J8" s="6">
        <f t="shared" si="1"/>
        <v>5.3487226616516607E-2</v>
      </c>
      <c r="K8" s="7">
        <f t="shared" si="2"/>
        <v>6.2547216765418412E-2</v>
      </c>
    </row>
    <row r="9" spans="1:14" x14ac:dyDescent="0.25">
      <c r="A9">
        <v>20242</v>
      </c>
      <c r="B9" s="5">
        <v>8.0999999999999996E-3</v>
      </c>
      <c r="C9" s="6">
        <v>4.4000000000000003E-3</v>
      </c>
      <c r="D9" s="7">
        <v>1.2500000000000001E-2</v>
      </c>
      <c r="I9" s="5">
        <f t="shared" si="0"/>
        <v>8.0999999999999996E-3</v>
      </c>
      <c r="J9" s="6">
        <f t="shared" si="1"/>
        <v>-1.4874765671299943E-2</v>
      </c>
      <c r="K9" s="7">
        <f t="shared" si="2"/>
        <v>-6.8952512732375348E-3</v>
      </c>
    </row>
    <row r="10" spans="1:14" x14ac:dyDescent="0.25">
      <c r="A10">
        <v>20241</v>
      </c>
      <c r="B10" s="5">
        <v>8.8000000000000005E-3</v>
      </c>
      <c r="C10" s="6">
        <v>2.7199999999999998E-2</v>
      </c>
      <c r="D10" s="7">
        <v>3.61E-2</v>
      </c>
      <c r="I10" s="5">
        <f t="shared" si="0"/>
        <v>8.8000000000000005E-3</v>
      </c>
      <c r="J10" s="6">
        <f t="shared" si="1"/>
        <v>5.6027610061023164E-2</v>
      </c>
      <c r="K10" s="7">
        <f t="shared" si="2"/>
        <v>6.5320653029560027E-2</v>
      </c>
    </row>
    <row r="11" spans="1:14" x14ac:dyDescent="0.25">
      <c r="A11">
        <v>20234</v>
      </c>
      <c r="B11" s="5">
        <v>6.7000000000000002E-3</v>
      </c>
      <c r="C11" s="6">
        <v>-6.8999999999999999E-3</v>
      </c>
      <c r="D11" s="7">
        <v>-1E-4</v>
      </c>
      <c r="I11" s="5">
        <f t="shared" si="0"/>
        <v>6.7000000000000002E-3</v>
      </c>
      <c r="J11" s="6">
        <f t="shared" si="1"/>
        <v>-2.0087997564573645E-2</v>
      </c>
      <c r="K11" s="7">
        <f t="shared" si="2"/>
        <v>-1.3522587148256382E-2</v>
      </c>
    </row>
    <row r="12" spans="1:14" x14ac:dyDescent="0.25">
      <c r="A12">
        <v>20233</v>
      </c>
      <c r="B12" s="5">
        <v>7.7000000000000002E-3</v>
      </c>
      <c r="C12" s="6">
        <v>8.6999999999999994E-3</v>
      </c>
      <c r="D12" s="7">
        <v>1.6400000000000001E-2</v>
      </c>
      <c r="I12" s="5">
        <f t="shared" si="0"/>
        <v>7.7000000000000002E-3</v>
      </c>
      <c r="J12" s="6">
        <f t="shared" si="1"/>
        <v>-6.4323818208889914E-3</v>
      </c>
      <c r="K12" s="7">
        <f t="shared" si="2"/>
        <v>1.2180888390902478E-3</v>
      </c>
    </row>
    <row r="13" spans="1:14" x14ac:dyDescent="0.25">
      <c r="A13">
        <v>20232</v>
      </c>
      <c r="B13" s="5">
        <v>8.0999999999999996E-3</v>
      </c>
      <c r="C13" s="6">
        <v>2.6599999999999999E-2</v>
      </c>
      <c r="D13" s="7">
        <v>3.4700000000000002E-2</v>
      </c>
      <c r="I13" s="5">
        <f t="shared" si="0"/>
        <v>8.0999999999999996E-3</v>
      </c>
      <c r="J13" s="6">
        <f t="shared" si="1"/>
        <v>5.7287455871411756E-2</v>
      </c>
      <c r="K13" s="7">
        <f t="shared" si="2"/>
        <v>6.5851484263970361E-2</v>
      </c>
    </row>
    <row r="14" spans="1:14" x14ac:dyDescent="0.25">
      <c r="A14">
        <v>20231</v>
      </c>
      <c r="B14" s="5">
        <v>8.5000000000000006E-3</v>
      </c>
      <c r="C14" s="6">
        <v>-9.7000000000000003E-3</v>
      </c>
      <c r="D14" s="7">
        <v>-1.2999999999999999E-3</v>
      </c>
      <c r="I14" s="5">
        <f t="shared" si="0"/>
        <v>8.5000000000000006E-3</v>
      </c>
      <c r="J14" s="6">
        <f t="shared" si="1"/>
        <v>-4.461437816774947E-2</v>
      </c>
      <c r="K14" s="7">
        <f t="shared" si="2"/>
        <v>-3.6493600382175417E-2</v>
      </c>
    </row>
    <row r="15" spans="1:14" x14ac:dyDescent="0.25">
      <c r="A15">
        <v>20224</v>
      </c>
      <c r="B15" s="5">
        <v>8.0000000000000002E-3</v>
      </c>
      <c r="C15" s="6">
        <v>3.1600000000000003E-2</v>
      </c>
      <c r="D15" s="7">
        <v>3.9600000000000003E-2</v>
      </c>
      <c r="I15" s="5">
        <f t="shared" si="0"/>
        <v>8.0000000000000002E-3</v>
      </c>
      <c r="J15" s="6">
        <f t="shared" si="1"/>
        <v>5.4087226616516611E-2</v>
      </c>
      <c r="K15" s="7">
        <f t="shared" si="2"/>
        <v>6.2519924429448759E-2</v>
      </c>
    </row>
    <row r="16" spans="1:14" x14ac:dyDescent="0.25">
      <c r="A16">
        <v>20223</v>
      </c>
      <c r="B16" s="5">
        <v>6.1000000000000004E-3</v>
      </c>
      <c r="C16" s="6">
        <v>5.0000000000000001E-3</v>
      </c>
      <c r="D16" s="7">
        <v>1.12E-2</v>
      </c>
      <c r="I16" s="5">
        <f t="shared" si="0"/>
        <v>6.1000000000000004E-3</v>
      </c>
      <c r="J16" s="6">
        <f t="shared" si="1"/>
        <v>-1.4866534792787227E-2</v>
      </c>
      <c r="K16" s="7">
        <f t="shared" si="2"/>
        <v>-8.8572206550232568E-3</v>
      </c>
    </row>
    <row r="17" spans="1:11" x14ac:dyDescent="0.25">
      <c r="A17">
        <v>20222</v>
      </c>
      <c r="B17" s="5">
        <v>8.0000000000000002E-3</v>
      </c>
      <c r="C17" s="6">
        <v>2.8500000000000001E-2</v>
      </c>
      <c r="D17" s="7">
        <v>3.6499999999999998E-2</v>
      </c>
      <c r="I17" s="5">
        <f t="shared" si="0"/>
        <v>8.0000000000000002E-3</v>
      </c>
      <c r="J17" s="6">
        <f t="shared" si="1"/>
        <v>5.9610148101045535E-2</v>
      </c>
      <c r="K17" s="7">
        <f t="shared" si="2"/>
        <v>6.8087029285853973E-2</v>
      </c>
    </row>
    <row r="18" spans="1:11" x14ac:dyDescent="0.25">
      <c r="A18">
        <v>20221</v>
      </c>
      <c r="B18" s="8">
        <v>9.4000000000000004E-3</v>
      </c>
      <c r="C18" s="9">
        <v>-8.3000000000000001E-3</v>
      </c>
      <c r="D18" s="10">
        <v>1.1000000000000001E-3</v>
      </c>
      <c r="I18" s="8">
        <f t="shared" si="0"/>
        <v>9.4000000000000004E-3</v>
      </c>
      <c r="J18" s="9">
        <f t="shared" si="1"/>
        <v>-1.5316691011920595E-2</v>
      </c>
      <c r="K18" s="10">
        <f t="shared" si="2"/>
        <v>-6.0606679074325376E-3</v>
      </c>
    </row>
    <row r="19" spans="1:11" x14ac:dyDescent="0.25">
      <c r="I19" s="6"/>
      <c r="J19" s="6"/>
      <c r="K19" s="6"/>
    </row>
    <row r="20" spans="1:11" x14ac:dyDescent="0.25">
      <c r="I20" s="6"/>
      <c r="J20" s="6"/>
      <c r="K20" s="6"/>
    </row>
    <row r="21" spans="1:11" x14ac:dyDescent="0.25">
      <c r="I21" s="6"/>
      <c r="J21" s="6"/>
      <c r="K21" s="6"/>
    </row>
    <row r="22" spans="1:11" x14ac:dyDescent="0.25">
      <c r="I22" s="6"/>
      <c r="J22" s="6"/>
      <c r="K22" s="6"/>
    </row>
    <row r="23" spans="1:11" x14ac:dyDescent="0.25">
      <c r="I23" s="6"/>
      <c r="J23" s="6"/>
      <c r="K23" s="6"/>
    </row>
    <row r="24" spans="1:11" x14ac:dyDescent="0.25">
      <c r="I24" s="6"/>
      <c r="J24" s="6"/>
      <c r="K24" s="6"/>
    </row>
    <row r="25" spans="1:11" x14ac:dyDescent="0.25">
      <c r="I25" s="6"/>
      <c r="J25" s="6"/>
      <c r="K25" s="6"/>
    </row>
    <row r="26" spans="1:11" x14ac:dyDescent="0.25">
      <c r="I26" s="6"/>
      <c r="J26" s="6"/>
      <c r="K26" s="6"/>
    </row>
    <row r="27" spans="1:11" x14ac:dyDescent="0.25">
      <c r="I27" s="6"/>
      <c r="J27" s="6"/>
      <c r="K27" s="6"/>
    </row>
    <row r="28" spans="1:11" x14ac:dyDescent="0.25">
      <c r="I28" s="6"/>
      <c r="J28" s="6"/>
      <c r="K28" s="6"/>
    </row>
    <row r="29" spans="1:11" x14ac:dyDescent="0.25">
      <c r="I29" s="6"/>
      <c r="J29" s="6"/>
      <c r="K29" s="6"/>
    </row>
  </sheetData>
  <mergeCells count="8">
    <mergeCell ref="M3:N3"/>
    <mergeCell ref="M4:N4"/>
    <mergeCell ref="A1:B1"/>
    <mergeCell ref="A2:B2"/>
    <mergeCell ref="B5:D5"/>
    <mergeCell ref="F3:G3"/>
    <mergeCell ref="F4:G4"/>
    <mergeCell ref="I5:K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73"/>
  <sheetViews>
    <sheetView workbookViewId="0">
      <selection sqref="A1:B1"/>
    </sheetView>
  </sheetViews>
  <sheetFormatPr defaultRowHeight="15" x14ac:dyDescent="0.25"/>
  <cols>
    <col min="1" max="4" width="12.7109375" customWidth="1"/>
    <col min="5" max="5" width="4.7109375" customWidth="1"/>
    <col min="6" max="7" width="12.7109375" customWidth="1"/>
    <col min="8" max="8" width="4.7109375" customWidth="1"/>
    <col min="9" max="11" width="12.7109375" customWidth="1"/>
    <col min="12" max="12" width="4.7109375" customWidth="1"/>
    <col min="13" max="16" width="12.7109375" customWidth="1"/>
  </cols>
  <sheetData>
    <row r="1" spans="1:14" x14ac:dyDescent="0.25">
      <c r="A1" s="41" t="s">
        <v>17</v>
      </c>
      <c r="B1" s="40"/>
      <c r="C1" s="15" t="s">
        <v>26</v>
      </c>
    </row>
    <row r="2" spans="1:14" x14ac:dyDescent="0.25">
      <c r="A2" s="39" t="s">
        <v>18</v>
      </c>
      <c r="B2" s="40"/>
      <c r="C2" s="18">
        <f>CORREL(C7:C71,C9:C73)</f>
        <v>0.52405287305199377</v>
      </c>
    </row>
    <row r="3" spans="1:14" x14ac:dyDescent="0.25">
      <c r="F3" s="36" t="s">
        <v>1</v>
      </c>
      <c r="G3" s="35"/>
      <c r="M3" s="36" t="s">
        <v>19</v>
      </c>
      <c r="N3" s="35"/>
    </row>
    <row r="4" spans="1:14" x14ac:dyDescent="0.25">
      <c r="F4" s="37">
        <f t="array" ref="F4">+(STDEV(D7:D73+1)*SQRT(4))</f>
        <v>4.47493773723706E-2</v>
      </c>
      <c r="G4" s="38"/>
      <c r="M4" s="37">
        <f>STDEV(K7:K73)*SQRT(4)</f>
        <v>8.9113231169838589E-2</v>
      </c>
      <c r="N4" s="38"/>
    </row>
    <row r="5" spans="1:14" x14ac:dyDescent="0.25">
      <c r="B5" s="33" t="s">
        <v>20</v>
      </c>
      <c r="C5" s="34"/>
      <c r="D5" s="35"/>
      <c r="I5" s="33" t="s">
        <v>21</v>
      </c>
      <c r="J5" s="34"/>
      <c r="K5" s="35"/>
    </row>
    <row r="6" spans="1:14" x14ac:dyDescent="0.25">
      <c r="B6" s="2" t="s">
        <v>22</v>
      </c>
      <c r="C6" s="3" t="s">
        <v>23</v>
      </c>
      <c r="D6" s="4" t="s">
        <v>24</v>
      </c>
      <c r="I6" s="12" t="s">
        <v>22</v>
      </c>
      <c r="J6" s="13" t="s">
        <v>23</v>
      </c>
      <c r="K6" s="14" t="s">
        <v>24</v>
      </c>
    </row>
    <row r="7" spans="1:14" x14ac:dyDescent="0.25">
      <c r="A7">
        <v>20244</v>
      </c>
      <c r="B7" s="5">
        <v>1.3599999999999999E-2</v>
      </c>
      <c r="C7" s="6">
        <v>4.0000000000000002E-4</v>
      </c>
      <c r="D7" s="7">
        <v>1.4E-2</v>
      </c>
      <c r="I7" s="5">
        <f t="shared" ref="I7:I38" si="0">+B7</f>
        <v>1.3599999999999999E-2</v>
      </c>
      <c r="J7" s="6">
        <f t="shared" ref="J7:J38" si="1">(C7-($C$2*C8))/(1-$C$2)</f>
        <v>5.795261222440974E-3</v>
      </c>
      <c r="K7" s="7">
        <f t="shared" ref="K7:K38" si="2">(1+I7)*(1+J7)-1</f>
        <v>1.9474076775066296E-2</v>
      </c>
    </row>
    <row r="8" spans="1:14" x14ac:dyDescent="0.25">
      <c r="A8">
        <v>20243</v>
      </c>
      <c r="B8" s="5">
        <v>1.38E-2</v>
      </c>
      <c r="C8" s="6">
        <v>-4.4999999999999997E-3</v>
      </c>
      <c r="D8" s="7">
        <v>9.2999999999999992E-3</v>
      </c>
      <c r="I8" s="5">
        <f t="shared" si="0"/>
        <v>1.38E-2</v>
      </c>
      <c r="J8" s="6">
        <f t="shared" si="1"/>
        <v>1.886227569419929E-3</v>
      </c>
      <c r="K8" s="7">
        <f t="shared" si="2"/>
        <v>1.5712257509878036E-2</v>
      </c>
    </row>
    <row r="9" spans="1:14" x14ac:dyDescent="0.25">
      <c r="A9">
        <v>20242</v>
      </c>
      <c r="B9" s="5">
        <v>1.37E-2</v>
      </c>
      <c r="C9" s="6">
        <v>-1.03E-2</v>
      </c>
      <c r="D9" s="7">
        <v>3.3999999999999998E-3</v>
      </c>
      <c r="I9" s="5">
        <f t="shared" si="0"/>
        <v>1.37E-2</v>
      </c>
      <c r="J9" s="6">
        <f t="shared" si="1"/>
        <v>-6.1159198683110828E-3</v>
      </c>
      <c r="K9" s="7">
        <f t="shared" si="2"/>
        <v>7.5002920294930941E-3</v>
      </c>
    </row>
    <row r="10" spans="1:14" x14ac:dyDescent="0.25">
      <c r="A10">
        <v>20241</v>
      </c>
      <c r="B10" s="5">
        <v>1.35E-2</v>
      </c>
      <c r="C10" s="6">
        <v>-1.41E-2</v>
      </c>
      <c r="D10" s="7">
        <v>-5.9999999999999995E-4</v>
      </c>
      <c r="I10" s="5">
        <f t="shared" si="0"/>
        <v>1.35E-2</v>
      </c>
      <c r="J10" s="6">
        <f t="shared" si="1"/>
        <v>3.8475016175077317E-3</v>
      </c>
      <c r="K10" s="7">
        <f t="shared" si="2"/>
        <v>1.739944288934403E-2</v>
      </c>
    </row>
    <row r="11" spans="1:14" x14ac:dyDescent="0.25">
      <c r="A11">
        <v>20234</v>
      </c>
      <c r="B11" s="5">
        <v>1.2999999999999999E-2</v>
      </c>
      <c r="C11" s="6">
        <v>-3.04E-2</v>
      </c>
      <c r="D11" s="7">
        <v>-1.7399999999999999E-2</v>
      </c>
      <c r="I11" s="5">
        <f t="shared" si="0"/>
        <v>1.2999999999999999E-2</v>
      </c>
      <c r="J11" s="6">
        <f t="shared" si="1"/>
        <v>-4.4713958345251562E-2</v>
      </c>
      <c r="K11" s="7">
        <f t="shared" si="2"/>
        <v>-3.2295239803739939E-2</v>
      </c>
    </row>
    <row r="12" spans="1:14" x14ac:dyDescent="0.25">
      <c r="A12">
        <v>20233</v>
      </c>
      <c r="B12" s="5">
        <v>1.29E-2</v>
      </c>
      <c r="C12" s="6">
        <v>-1.7399999999999999E-2</v>
      </c>
      <c r="D12" s="7">
        <v>-4.4999999999999997E-3</v>
      </c>
      <c r="I12" s="5">
        <f t="shared" si="0"/>
        <v>1.29E-2</v>
      </c>
      <c r="J12" s="6">
        <f t="shared" si="1"/>
        <v>-1.9161717950184804E-2</v>
      </c>
      <c r="K12" s="7">
        <f t="shared" si="2"/>
        <v>-6.5089041117423196E-3</v>
      </c>
    </row>
    <row r="13" spans="1:14" x14ac:dyDescent="0.25">
      <c r="A13">
        <v>20232</v>
      </c>
      <c r="B13" s="5">
        <v>1.2699999999999999E-2</v>
      </c>
      <c r="C13" s="6">
        <v>-1.5800000000000002E-2</v>
      </c>
      <c r="D13" s="7">
        <v>-3.0999999999999999E-3</v>
      </c>
      <c r="I13" s="5">
        <f t="shared" si="0"/>
        <v>1.2699999999999999E-2</v>
      </c>
      <c r="J13" s="6">
        <f t="shared" si="1"/>
        <v>-1.4038282049815196E-2</v>
      </c>
      <c r="K13" s="7">
        <f t="shared" si="2"/>
        <v>-1.5165682318478702E-3</v>
      </c>
    </row>
    <row r="14" spans="1:14" x14ac:dyDescent="0.25">
      <c r="A14">
        <v>20231</v>
      </c>
      <c r="B14" s="5">
        <v>1.24E-2</v>
      </c>
      <c r="C14" s="6">
        <v>-1.7399999999999999E-2</v>
      </c>
      <c r="D14" s="7">
        <v>-5.0000000000000001E-3</v>
      </c>
      <c r="I14" s="5">
        <f t="shared" si="0"/>
        <v>1.24E-2</v>
      </c>
      <c r="J14" s="6">
        <f t="shared" si="1"/>
        <v>-6.4993701832314985E-3</v>
      </c>
      <c r="K14" s="7">
        <f t="shared" si="2"/>
        <v>5.8200376264962994E-3</v>
      </c>
    </row>
    <row r="15" spans="1:14" x14ac:dyDescent="0.25">
      <c r="A15">
        <v>20224</v>
      </c>
      <c r="B15" s="5">
        <v>1.2E-2</v>
      </c>
      <c r="C15" s="6">
        <v>-2.7300000000000001E-2</v>
      </c>
      <c r="D15" s="7">
        <v>-1.52E-2</v>
      </c>
      <c r="I15" s="5">
        <f t="shared" si="0"/>
        <v>1.2E-2</v>
      </c>
      <c r="J15" s="6">
        <f t="shared" si="1"/>
        <v>-5.3175232393339371E-2</v>
      </c>
      <c r="K15" s="7">
        <f t="shared" si="2"/>
        <v>-4.181333518205943E-2</v>
      </c>
    </row>
    <row r="16" spans="1:14" x14ac:dyDescent="0.25">
      <c r="A16">
        <v>20223</v>
      </c>
      <c r="B16" s="5">
        <v>1.1900000000000001E-2</v>
      </c>
      <c r="C16" s="6">
        <v>-3.8E-3</v>
      </c>
      <c r="D16" s="7">
        <v>8.0999999999999996E-3</v>
      </c>
      <c r="I16" s="5">
        <f t="shared" si="0"/>
        <v>1.1900000000000001E-2</v>
      </c>
      <c r="J16" s="6">
        <f t="shared" si="1"/>
        <v>-2.196771636128083E-2</v>
      </c>
      <c r="K16" s="7">
        <f t="shared" si="2"/>
        <v>-1.0329132185980083E-2</v>
      </c>
    </row>
    <row r="17" spans="1:11" x14ac:dyDescent="0.25">
      <c r="A17">
        <v>20222</v>
      </c>
      <c r="B17" s="5">
        <v>1.21E-2</v>
      </c>
      <c r="C17" s="6">
        <v>1.2699999999999999E-2</v>
      </c>
      <c r="D17" s="7">
        <v>2.4799999999999999E-2</v>
      </c>
      <c r="I17" s="5">
        <f t="shared" si="0"/>
        <v>1.21E-2</v>
      </c>
      <c r="J17" s="6">
        <f t="shared" si="1"/>
        <v>1.0167530446609339E-2</v>
      </c>
      <c r="K17" s="7">
        <f t="shared" si="2"/>
        <v>2.2390557565013403E-2</v>
      </c>
    </row>
    <row r="18" spans="1:11" x14ac:dyDescent="0.25">
      <c r="A18">
        <v>20221</v>
      </c>
      <c r="B18" s="5">
        <v>1.21E-2</v>
      </c>
      <c r="C18" s="6">
        <v>1.4999999999999999E-2</v>
      </c>
      <c r="D18" s="7">
        <v>2.7099999999999999E-2</v>
      </c>
      <c r="I18" s="5">
        <f t="shared" si="0"/>
        <v>1.21E-2</v>
      </c>
      <c r="J18" s="6">
        <f t="shared" si="1"/>
        <v>1.1916993587176586E-2</v>
      </c>
      <c r="K18" s="7">
        <f t="shared" si="2"/>
        <v>2.4161189209581435E-2</v>
      </c>
    </row>
    <row r="19" spans="1:11" x14ac:dyDescent="0.25">
      <c r="A19">
        <v>20214</v>
      </c>
      <c r="B19" s="5">
        <v>1.2699999999999999E-2</v>
      </c>
      <c r="C19" s="6">
        <v>1.78E-2</v>
      </c>
      <c r="D19" s="7">
        <v>3.0499999999999999E-2</v>
      </c>
      <c r="I19" s="5">
        <f t="shared" si="0"/>
        <v>1.2699999999999999E-2</v>
      </c>
      <c r="J19" s="6">
        <f t="shared" si="1"/>
        <v>1.8350536859432751E-2</v>
      </c>
      <c r="K19" s="7">
        <f t="shared" si="2"/>
        <v>3.1283588677547547E-2</v>
      </c>
    </row>
    <row r="20" spans="1:11" x14ac:dyDescent="0.25">
      <c r="A20">
        <v>20213</v>
      </c>
      <c r="B20" s="5">
        <v>1.29E-2</v>
      </c>
      <c r="C20" s="6">
        <v>1.7299999999999999E-2</v>
      </c>
      <c r="D20" s="7">
        <v>3.0200000000000001E-2</v>
      </c>
      <c r="I20" s="5">
        <f t="shared" si="0"/>
        <v>1.29E-2</v>
      </c>
      <c r="J20" s="6">
        <f t="shared" si="1"/>
        <v>1.5207959934155539E-2</v>
      </c>
      <c r="K20" s="7">
        <f t="shared" si="2"/>
        <v>2.8304142617306072E-2</v>
      </c>
    </row>
    <row r="21" spans="1:11" x14ac:dyDescent="0.25">
      <c r="A21">
        <v>20212</v>
      </c>
      <c r="B21" s="5">
        <v>1.2999999999999999E-2</v>
      </c>
      <c r="C21" s="6">
        <v>1.9199999999999998E-2</v>
      </c>
      <c r="D21" s="7">
        <v>3.2199999999999999E-2</v>
      </c>
      <c r="I21" s="5">
        <f t="shared" si="0"/>
        <v>1.2999999999999999E-2</v>
      </c>
      <c r="J21" s="6">
        <f t="shared" si="1"/>
        <v>2.9880415072995395E-2</v>
      </c>
      <c r="K21" s="7">
        <f t="shared" si="2"/>
        <v>4.3268860468944181E-2</v>
      </c>
    </row>
    <row r="22" spans="1:11" x14ac:dyDescent="0.25">
      <c r="A22">
        <v>20211</v>
      </c>
      <c r="B22" s="5">
        <v>1.29E-2</v>
      </c>
      <c r="C22" s="6">
        <v>9.4999999999999998E-3</v>
      </c>
      <c r="D22" s="7">
        <v>2.24E-2</v>
      </c>
      <c r="I22" s="5">
        <f t="shared" si="0"/>
        <v>1.29E-2</v>
      </c>
      <c r="J22" s="6">
        <f t="shared" si="1"/>
        <v>1.0380858975092404E-2</v>
      </c>
      <c r="K22" s="7">
        <f t="shared" si="2"/>
        <v>2.3414772055871058E-2</v>
      </c>
    </row>
    <row r="23" spans="1:11" x14ac:dyDescent="0.25">
      <c r="A23">
        <v>20204</v>
      </c>
      <c r="B23" s="5">
        <v>1.29E-2</v>
      </c>
      <c r="C23" s="6">
        <v>8.6999999999999994E-3</v>
      </c>
      <c r="D23" s="7">
        <v>2.1600000000000001E-2</v>
      </c>
      <c r="I23" s="5">
        <f t="shared" si="0"/>
        <v>1.29E-2</v>
      </c>
      <c r="J23" s="6">
        <f t="shared" si="1"/>
        <v>1.4755905453760276E-2</v>
      </c>
      <c r="K23" s="7">
        <f t="shared" si="2"/>
        <v>2.7846256634113775E-2</v>
      </c>
    </row>
    <row r="24" spans="1:11" x14ac:dyDescent="0.25">
      <c r="A24">
        <v>20203</v>
      </c>
      <c r="B24" s="5">
        <v>1.29E-2</v>
      </c>
      <c r="C24" s="6">
        <v>3.2000000000000002E-3</v>
      </c>
      <c r="D24" s="7">
        <v>1.6E-2</v>
      </c>
      <c r="I24" s="5">
        <f t="shared" si="0"/>
        <v>1.29E-2</v>
      </c>
      <c r="J24" s="6">
        <f t="shared" si="1"/>
        <v>5.4021474377310107E-3</v>
      </c>
      <c r="K24" s="7">
        <f t="shared" si="2"/>
        <v>1.8371835139677772E-2</v>
      </c>
    </row>
    <row r="25" spans="1:11" x14ac:dyDescent="0.25">
      <c r="A25">
        <v>20202</v>
      </c>
      <c r="B25" s="5">
        <v>1.2500000000000001E-2</v>
      </c>
      <c r="C25" s="6">
        <v>1.1999999999999999E-3</v>
      </c>
      <c r="D25" s="7">
        <v>1.37E-2</v>
      </c>
      <c r="I25" s="5">
        <f t="shared" si="0"/>
        <v>1.2500000000000001E-2</v>
      </c>
      <c r="J25" s="6">
        <f t="shared" si="1"/>
        <v>-5.6266570569661317E-3</v>
      </c>
      <c r="K25" s="7">
        <f t="shared" si="2"/>
        <v>6.8030097298217296E-3</v>
      </c>
    </row>
    <row r="26" spans="1:11" x14ac:dyDescent="0.25">
      <c r="A26">
        <v>20201</v>
      </c>
      <c r="B26" s="5">
        <v>1.29E-2</v>
      </c>
      <c r="C26" s="6">
        <v>7.4000000000000003E-3</v>
      </c>
      <c r="D26" s="7">
        <v>2.0299999999999999E-2</v>
      </c>
      <c r="I26" s="5">
        <f t="shared" si="0"/>
        <v>1.29E-2</v>
      </c>
      <c r="J26" s="6">
        <f t="shared" si="1"/>
        <v>9.9324695533906607E-3</v>
      </c>
      <c r="K26" s="7">
        <f t="shared" si="2"/>
        <v>2.2960598410629363E-2</v>
      </c>
    </row>
    <row r="27" spans="1:11" x14ac:dyDescent="0.25">
      <c r="A27">
        <v>20194</v>
      </c>
      <c r="B27" s="5">
        <v>1.2699999999999999E-2</v>
      </c>
      <c r="C27" s="6">
        <v>5.1000000000000004E-3</v>
      </c>
      <c r="D27" s="7">
        <v>1.78E-2</v>
      </c>
      <c r="I27" s="5">
        <f t="shared" si="0"/>
        <v>1.2699999999999999E-2</v>
      </c>
      <c r="J27" s="6">
        <f t="shared" si="1"/>
        <v>-7.3569070998717409E-4</v>
      </c>
      <c r="K27" s="7">
        <f t="shared" si="2"/>
        <v>1.195496601799606E-2</v>
      </c>
    </row>
    <row r="28" spans="1:11" x14ac:dyDescent="0.25">
      <c r="A28">
        <v>20193</v>
      </c>
      <c r="B28" s="5">
        <v>1.29E-2</v>
      </c>
      <c r="C28" s="6">
        <v>1.04E-2</v>
      </c>
      <c r="D28" s="7">
        <v>2.3300000000000001E-2</v>
      </c>
      <c r="I28" s="5">
        <f t="shared" si="0"/>
        <v>1.29E-2</v>
      </c>
      <c r="J28" s="6">
        <f t="shared" si="1"/>
        <v>1.5685153850554422E-2</v>
      </c>
      <c r="K28" s="7">
        <f t="shared" si="2"/>
        <v>2.8787492335226483E-2</v>
      </c>
    </row>
    <row r="29" spans="1:11" x14ac:dyDescent="0.25">
      <c r="A29">
        <v>20192</v>
      </c>
      <c r="B29" s="5">
        <v>1.32E-2</v>
      </c>
      <c r="C29" s="6">
        <v>5.5999999999999999E-3</v>
      </c>
      <c r="D29" s="7">
        <v>1.8800000000000001E-2</v>
      </c>
      <c r="I29" s="5">
        <f t="shared" si="0"/>
        <v>1.32E-2</v>
      </c>
      <c r="J29" s="6">
        <f t="shared" si="1"/>
        <v>2.9574230747227881E-3</v>
      </c>
      <c r="K29" s="7">
        <f t="shared" si="2"/>
        <v>1.6196461059309053E-2</v>
      </c>
    </row>
    <row r="30" spans="1:11" x14ac:dyDescent="0.25">
      <c r="A30">
        <v>20191</v>
      </c>
      <c r="B30" s="5">
        <v>1.21E-2</v>
      </c>
      <c r="C30" s="6">
        <v>8.0000000000000002E-3</v>
      </c>
      <c r="D30" s="7">
        <v>2.01E-2</v>
      </c>
      <c r="I30" s="5">
        <f t="shared" si="0"/>
        <v>1.21E-2</v>
      </c>
      <c r="J30" s="6">
        <f t="shared" si="1"/>
        <v>1.2294187503575468E-2</v>
      </c>
      <c r="K30" s="7">
        <f t="shared" si="2"/>
        <v>2.4542947172368601E-2</v>
      </c>
    </row>
    <row r="31" spans="1:11" x14ac:dyDescent="0.25">
      <c r="A31">
        <v>20184</v>
      </c>
      <c r="B31" s="5">
        <v>1.3100000000000001E-2</v>
      </c>
      <c r="C31" s="6">
        <v>4.1000000000000003E-3</v>
      </c>
      <c r="D31" s="7">
        <v>1.72E-2</v>
      </c>
      <c r="I31" s="5">
        <f t="shared" si="0"/>
        <v>1.3100000000000001E-2</v>
      </c>
      <c r="J31" s="6">
        <f t="shared" si="1"/>
        <v>1.4574230747227892E-3</v>
      </c>
      <c r="K31" s="7">
        <f t="shared" si="2"/>
        <v>1.4576515317001881E-2</v>
      </c>
    </row>
    <row r="32" spans="1:11" x14ac:dyDescent="0.25">
      <c r="A32">
        <v>20183</v>
      </c>
      <c r="B32" s="5">
        <v>1.26E-2</v>
      </c>
      <c r="C32" s="6">
        <v>6.4999999999999997E-3</v>
      </c>
      <c r="D32" s="7">
        <v>1.9099999999999999E-2</v>
      </c>
      <c r="I32" s="5">
        <f t="shared" si="0"/>
        <v>1.26E-2</v>
      </c>
      <c r="J32" s="6">
        <f t="shared" si="1"/>
        <v>9.3627916690503122E-3</v>
      </c>
      <c r="K32" s="7">
        <f t="shared" si="2"/>
        <v>2.2080762844080448E-2</v>
      </c>
    </row>
    <row r="33" spans="1:11" x14ac:dyDescent="0.25">
      <c r="A33">
        <v>20182</v>
      </c>
      <c r="B33" s="5">
        <v>1.26E-2</v>
      </c>
      <c r="C33" s="6">
        <v>3.8999999999999998E-3</v>
      </c>
      <c r="D33" s="7">
        <v>1.6500000000000001E-2</v>
      </c>
      <c r="I33" s="5">
        <f t="shared" si="0"/>
        <v>1.26E-2</v>
      </c>
      <c r="J33" s="6">
        <f t="shared" si="1"/>
        <v>-6.0096634697895451E-3</v>
      </c>
      <c r="K33" s="7">
        <f t="shared" si="2"/>
        <v>6.5146147704910895E-3</v>
      </c>
    </row>
    <row r="34" spans="1:11" x14ac:dyDescent="0.25">
      <c r="A34">
        <v>20181</v>
      </c>
      <c r="B34" s="5">
        <v>1.2999999999999999E-2</v>
      </c>
      <c r="C34" s="6">
        <v>1.29E-2</v>
      </c>
      <c r="D34" s="7">
        <v>2.5899999999999999E-2</v>
      </c>
      <c r="I34" s="5">
        <f t="shared" si="0"/>
        <v>1.2999999999999999E-2</v>
      </c>
      <c r="J34" s="6">
        <f t="shared" si="1"/>
        <v>1.9726657056966131E-2</v>
      </c>
      <c r="K34" s="7">
        <f t="shared" si="2"/>
        <v>3.2983103598706487E-2</v>
      </c>
    </row>
    <row r="35" spans="1:11" x14ac:dyDescent="0.25">
      <c r="A35">
        <v>20174</v>
      </c>
      <c r="B35" s="5">
        <v>1.2800000000000001E-2</v>
      </c>
      <c r="C35" s="6">
        <v>6.7000000000000002E-3</v>
      </c>
      <c r="D35" s="7">
        <v>1.95E-2</v>
      </c>
      <c r="I35" s="5">
        <f t="shared" si="0"/>
        <v>1.2800000000000001E-2</v>
      </c>
      <c r="J35" s="6">
        <f t="shared" si="1"/>
        <v>1.4148461494455766E-3</v>
      </c>
      <c r="K35" s="7">
        <f t="shared" si="2"/>
        <v>1.4232956180158407E-2</v>
      </c>
    </row>
    <row r="36" spans="1:11" x14ac:dyDescent="0.25">
      <c r="A36">
        <v>20173</v>
      </c>
      <c r="B36" s="5">
        <v>1.3299999999999999E-2</v>
      </c>
      <c r="C36" s="6">
        <v>1.15E-2</v>
      </c>
      <c r="D36" s="7">
        <v>2.4899999999999999E-2</v>
      </c>
      <c r="I36" s="5">
        <f t="shared" si="0"/>
        <v>1.3299999999999999E-2</v>
      </c>
      <c r="J36" s="6">
        <f t="shared" si="1"/>
        <v>1.8326657056966129E-2</v>
      </c>
      <c r="K36" s="7">
        <f t="shared" si="2"/>
        <v>3.1870401595823994E-2</v>
      </c>
    </row>
    <row r="37" spans="1:11" x14ac:dyDescent="0.25">
      <c r="A37">
        <v>20172</v>
      </c>
      <c r="B37" s="5">
        <v>1.29E-2</v>
      </c>
      <c r="C37" s="6">
        <v>5.3E-3</v>
      </c>
      <c r="D37" s="7">
        <v>1.8100000000000002E-2</v>
      </c>
      <c r="I37" s="5">
        <f t="shared" si="0"/>
        <v>1.29E-2</v>
      </c>
      <c r="J37" s="6">
        <f t="shared" si="1"/>
        <v>3.4281746779286416E-3</v>
      </c>
      <c r="K37" s="7">
        <f t="shared" si="2"/>
        <v>1.637239813127378E-2</v>
      </c>
    </row>
    <row r="38" spans="1:11" x14ac:dyDescent="0.25">
      <c r="A38">
        <v>20171</v>
      </c>
      <c r="B38" s="5">
        <v>1.3299999999999999E-2</v>
      </c>
      <c r="C38" s="6">
        <v>7.0000000000000001E-3</v>
      </c>
      <c r="D38" s="7">
        <v>2.0299999999999999E-2</v>
      </c>
      <c r="I38" s="5">
        <f t="shared" si="0"/>
        <v>1.3299999999999999E-2</v>
      </c>
      <c r="J38" s="6">
        <f t="shared" si="1"/>
        <v>1.0743650644142717E-2</v>
      </c>
      <c r="K38" s="7">
        <f t="shared" si="2"/>
        <v>2.4186541197710021E-2</v>
      </c>
    </row>
    <row r="39" spans="1:11" x14ac:dyDescent="0.25">
      <c r="A39">
        <v>20164</v>
      </c>
      <c r="B39" s="5">
        <v>1.2800000000000001E-2</v>
      </c>
      <c r="C39" s="6">
        <v>3.5999999999999999E-3</v>
      </c>
      <c r="D39" s="7">
        <v>1.6400000000000001E-2</v>
      </c>
      <c r="I39" s="5">
        <f t="shared" ref="I39:I73" si="3">+B39</f>
        <v>1.2800000000000001E-2</v>
      </c>
      <c r="J39" s="6">
        <f t="shared" ref="J39:J73" si="4">(C39-($C$2*C40))/(1-$C$2)</f>
        <v>-6.5298782135626452E-3</v>
      </c>
      <c r="K39" s="7">
        <f t="shared" ref="K39:K70" si="5">(1+I39)*(1+J39)-1</f>
        <v>6.1865393453035544E-3</v>
      </c>
    </row>
    <row r="40" spans="1:11" x14ac:dyDescent="0.25">
      <c r="A40">
        <v>20163</v>
      </c>
      <c r="B40" s="5">
        <v>1.2699999999999999E-2</v>
      </c>
      <c r="C40" s="6">
        <v>1.2800000000000001E-2</v>
      </c>
      <c r="D40" s="7">
        <v>2.5499999999999998E-2</v>
      </c>
      <c r="I40" s="5">
        <f t="shared" si="3"/>
        <v>1.2699999999999999E-2</v>
      </c>
      <c r="J40" s="6">
        <f t="shared" si="4"/>
        <v>2.5352240395066755E-2</v>
      </c>
      <c r="K40" s="7">
        <f t="shared" si="5"/>
        <v>3.8374213848084038E-2</v>
      </c>
    </row>
    <row r="41" spans="1:11" x14ac:dyDescent="0.25">
      <c r="A41">
        <v>20162</v>
      </c>
      <c r="B41" s="5">
        <v>1.32E-2</v>
      </c>
      <c r="C41" s="6">
        <v>1.4E-3</v>
      </c>
      <c r="D41" s="7">
        <v>1.4500000000000001E-2</v>
      </c>
      <c r="I41" s="5">
        <f t="shared" si="3"/>
        <v>1.32E-2</v>
      </c>
      <c r="J41" s="6">
        <f t="shared" si="4"/>
        <v>5.5840801316889184E-3</v>
      </c>
      <c r="K41" s="7">
        <f t="shared" si="5"/>
        <v>1.8857789989427332E-2</v>
      </c>
    </row>
    <row r="42" spans="1:11" x14ac:dyDescent="0.25">
      <c r="A42">
        <v>20161</v>
      </c>
      <c r="B42" s="5">
        <v>1.29E-2</v>
      </c>
      <c r="C42" s="6">
        <v>-2.3999999999999998E-3</v>
      </c>
      <c r="D42" s="7">
        <v>1.0500000000000001E-2</v>
      </c>
      <c r="I42" s="5">
        <f t="shared" si="3"/>
        <v>1.29E-2</v>
      </c>
      <c r="J42" s="6">
        <f t="shared" si="4"/>
        <v>-2.0017179501848077E-2</v>
      </c>
      <c r="K42" s="7">
        <f t="shared" si="5"/>
        <v>-7.3754011174220757E-3</v>
      </c>
    </row>
    <row r="43" spans="1:11" x14ac:dyDescent="0.25">
      <c r="A43">
        <v>20154</v>
      </c>
      <c r="B43" s="5">
        <v>1.41E-2</v>
      </c>
      <c r="C43" s="6">
        <v>1.3599999999999999E-2</v>
      </c>
      <c r="D43" s="7">
        <v>2.7699999999999999E-2</v>
      </c>
      <c r="I43" s="5">
        <f t="shared" si="3"/>
        <v>1.41E-2</v>
      </c>
      <c r="J43" s="6">
        <f t="shared" si="4"/>
        <v>1.7784080131688917E-2</v>
      </c>
      <c r="K43" s="7">
        <f t="shared" si="5"/>
        <v>3.2134835661545624E-2</v>
      </c>
    </row>
    <row r="44" spans="1:11" x14ac:dyDescent="0.25">
      <c r="A44">
        <v>20153</v>
      </c>
      <c r="B44" s="5">
        <v>1.2800000000000001E-2</v>
      </c>
      <c r="C44" s="6">
        <v>9.7999999999999997E-3</v>
      </c>
      <c r="D44" s="7">
        <v>2.2599999999999999E-2</v>
      </c>
      <c r="I44" s="5">
        <f t="shared" si="3"/>
        <v>1.2800000000000001E-2</v>
      </c>
      <c r="J44" s="6">
        <f t="shared" si="4"/>
        <v>6.1664567277438329E-3</v>
      </c>
      <c r="K44" s="7">
        <f t="shared" si="5"/>
        <v>1.9045387373858746E-2</v>
      </c>
    </row>
    <row r="45" spans="1:11" x14ac:dyDescent="0.25">
      <c r="A45">
        <v>20152</v>
      </c>
      <c r="B45" s="5">
        <v>1.37E-2</v>
      </c>
      <c r="C45" s="6">
        <v>1.3100000000000001E-2</v>
      </c>
      <c r="D45" s="7">
        <v>2.6800000000000001E-2</v>
      </c>
      <c r="I45" s="5">
        <f t="shared" si="3"/>
        <v>1.37E-2</v>
      </c>
      <c r="J45" s="6">
        <f t="shared" si="4"/>
        <v>2.4000629816768499E-2</v>
      </c>
      <c r="K45" s="7">
        <f t="shared" si="5"/>
        <v>3.8029438445258412E-2</v>
      </c>
    </row>
    <row r="46" spans="1:11" x14ac:dyDescent="0.25">
      <c r="A46">
        <v>20151</v>
      </c>
      <c r="B46" s="5">
        <v>1.35E-2</v>
      </c>
      <c r="C46" s="6">
        <v>3.2000000000000002E-3</v>
      </c>
      <c r="D46" s="7">
        <v>1.66E-2</v>
      </c>
      <c r="I46" s="5">
        <f t="shared" si="3"/>
        <v>1.35E-2</v>
      </c>
      <c r="J46" s="6">
        <f t="shared" si="4"/>
        <v>-1.5408145848827035E-2</v>
      </c>
      <c r="K46" s="7">
        <f t="shared" si="5"/>
        <v>-2.116155817786125E-3</v>
      </c>
    </row>
    <row r="47" spans="1:11" x14ac:dyDescent="0.25">
      <c r="A47">
        <v>20144</v>
      </c>
      <c r="B47" s="5">
        <v>1.32E-2</v>
      </c>
      <c r="C47" s="6">
        <v>2.01E-2</v>
      </c>
      <c r="D47" s="7">
        <v>3.3300000000000003E-2</v>
      </c>
      <c r="I47" s="5">
        <f t="shared" si="3"/>
        <v>1.32E-2</v>
      </c>
      <c r="J47" s="6">
        <f t="shared" si="4"/>
        <v>3.6175676295436367E-2</v>
      </c>
      <c r="K47" s="7">
        <f t="shared" si="5"/>
        <v>4.9853195222536284E-2</v>
      </c>
    </row>
    <row r="48" spans="1:11" x14ac:dyDescent="0.25">
      <c r="A48">
        <v>20143</v>
      </c>
      <c r="B48" s="5">
        <v>1.38E-2</v>
      </c>
      <c r="C48" s="6">
        <v>5.4999999999999997E-3</v>
      </c>
      <c r="D48" s="7">
        <v>1.9300000000000001E-2</v>
      </c>
      <c r="I48" s="5">
        <f t="shared" si="3"/>
        <v>1.38E-2</v>
      </c>
      <c r="J48" s="6">
        <f t="shared" si="4"/>
        <v>1.0957051245379806E-3</v>
      </c>
      <c r="K48" s="7">
        <f t="shared" si="5"/>
        <v>1.4910825855256604E-2</v>
      </c>
    </row>
    <row r="49" spans="1:11" x14ac:dyDescent="0.25">
      <c r="A49">
        <v>20142</v>
      </c>
      <c r="B49" s="5">
        <v>1.3599999999999999E-2</v>
      </c>
      <c r="C49" s="6">
        <v>9.4999999999999998E-3</v>
      </c>
      <c r="D49" s="7">
        <v>2.3099999999999999E-2</v>
      </c>
      <c r="I49" s="5">
        <f t="shared" si="3"/>
        <v>1.3599999999999999E-2</v>
      </c>
      <c r="J49" s="6">
        <f t="shared" si="4"/>
        <v>2.2052240395066754E-2</v>
      </c>
      <c r="K49" s="7">
        <f t="shared" si="5"/>
        <v>3.5952150864439592E-2</v>
      </c>
    </row>
    <row r="50" spans="1:11" x14ac:dyDescent="0.25">
      <c r="A50">
        <v>20141</v>
      </c>
      <c r="B50" s="5">
        <v>1.29E-2</v>
      </c>
      <c r="C50" s="6">
        <v>-1.9E-3</v>
      </c>
      <c r="D50" s="7">
        <v>1.09E-2</v>
      </c>
      <c r="I50" s="5">
        <f t="shared" si="3"/>
        <v>1.29E-2</v>
      </c>
      <c r="J50" s="6">
        <f t="shared" si="4"/>
        <v>-1.1699556097902995E-2</v>
      </c>
      <c r="K50" s="7">
        <f t="shared" si="5"/>
        <v>1.0495196284339148E-3</v>
      </c>
    </row>
    <row r="51" spans="1:11" x14ac:dyDescent="0.25">
      <c r="A51">
        <v>20134</v>
      </c>
      <c r="B51" s="5">
        <v>1.4500000000000001E-2</v>
      </c>
      <c r="C51" s="6">
        <v>7.0000000000000001E-3</v>
      </c>
      <c r="D51" s="7">
        <v>2.1499999999999998E-2</v>
      </c>
      <c r="I51" s="5">
        <f t="shared" si="3"/>
        <v>1.4500000000000001E-2</v>
      </c>
      <c r="J51" s="6">
        <f t="shared" si="4"/>
        <v>1.4597408660171984E-2</v>
      </c>
      <c r="K51" s="7">
        <f t="shared" si="5"/>
        <v>2.9309071085744431E-2</v>
      </c>
    </row>
    <row r="52" spans="1:11" x14ac:dyDescent="0.25">
      <c r="A52">
        <v>20133</v>
      </c>
      <c r="B52" s="5">
        <v>1.44E-2</v>
      </c>
      <c r="C52" s="6">
        <v>1E-4</v>
      </c>
      <c r="D52" s="7">
        <v>1.46E-2</v>
      </c>
      <c r="I52" s="5">
        <f t="shared" si="3"/>
        <v>1.44E-2</v>
      </c>
      <c r="J52" s="6">
        <f t="shared" si="4"/>
        <v>-2.4343836558814211E-2</v>
      </c>
      <c r="K52" s="7">
        <f t="shared" si="5"/>
        <v>-1.0294387805261151E-2</v>
      </c>
    </row>
    <row r="53" spans="1:11" x14ac:dyDescent="0.25">
      <c r="A53">
        <v>20132</v>
      </c>
      <c r="B53" s="5">
        <v>1.49E-2</v>
      </c>
      <c r="C53" s="6">
        <v>2.23E-2</v>
      </c>
      <c r="D53" s="7">
        <v>3.7199999999999997E-2</v>
      </c>
      <c r="I53" s="5">
        <f t="shared" si="3"/>
        <v>1.49E-2</v>
      </c>
      <c r="J53" s="6">
        <f t="shared" si="4"/>
        <v>3.0447945519604738E-2</v>
      </c>
      <c r="K53" s="7">
        <f t="shared" si="5"/>
        <v>4.5801619907846813E-2</v>
      </c>
    </row>
    <row r="54" spans="1:11" x14ac:dyDescent="0.25">
      <c r="A54">
        <v>20131</v>
      </c>
      <c r="B54" s="5">
        <v>1.5900000000000001E-2</v>
      </c>
      <c r="C54" s="6">
        <v>1.49E-2</v>
      </c>
      <c r="D54" s="7">
        <v>3.0700000000000002E-2</v>
      </c>
      <c r="I54" s="5">
        <f t="shared" si="3"/>
        <v>1.5900000000000001E-2</v>
      </c>
      <c r="J54" s="6">
        <f t="shared" si="4"/>
        <v>2.2937838147718183E-2</v>
      </c>
      <c r="K54" s="7">
        <f t="shared" si="5"/>
        <v>3.9202549774266737E-2</v>
      </c>
    </row>
    <row r="55" spans="1:11" x14ac:dyDescent="0.25">
      <c r="A55">
        <v>20124</v>
      </c>
      <c r="B55" s="5">
        <v>1.5100000000000001E-2</v>
      </c>
      <c r="C55" s="6">
        <v>7.6E-3</v>
      </c>
      <c r="D55" s="7">
        <v>2.2599999999999999E-2</v>
      </c>
      <c r="I55" s="5">
        <f t="shared" si="3"/>
        <v>1.5100000000000001E-2</v>
      </c>
      <c r="J55" s="6">
        <f t="shared" si="4"/>
        <v>4.4302082737421897E-4</v>
      </c>
      <c r="K55" s="7">
        <f t="shared" si="5"/>
        <v>1.5549710441867592E-2</v>
      </c>
    </row>
    <row r="56" spans="1:11" x14ac:dyDescent="0.25">
      <c r="A56">
        <v>20123</v>
      </c>
      <c r="B56" s="5">
        <v>1.5699999999999999E-2</v>
      </c>
      <c r="C56" s="6">
        <v>1.41E-2</v>
      </c>
      <c r="D56" s="7">
        <v>2.98E-2</v>
      </c>
      <c r="I56" s="5">
        <f t="shared" si="3"/>
        <v>1.5699999999999999E-2</v>
      </c>
      <c r="J56" s="6">
        <f t="shared" si="4"/>
        <v>7.9339871743531742E-3</v>
      </c>
      <c r="K56" s="7">
        <f t="shared" si="5"/>
        <v>2.3758550772990494E-2</v>
      </c>
    </row>
    <row r="57" spans="1:11" x14ac:dyDescent="0.25">
      <c r="A57">
        <v>20122</v>
      </c>
      <c r="B57" s="5">
        <v>1.4500000000000001E-2</v>
      </c>
      <c r="C57" s="6">
        <v>1.9699999999999999E-2</v>
      </c>
      <c r="D57" s="7">
        <v>3.4099999999999998E-2</v>
      </c>
      <c r="I57" s="5">
        <f t="shared" si="3"/>
        <v>1.4500000000000001E-2</v>
      </c>
      <c r="J57" s="6">
        <f t="shared" si="4"/>
        <v>2.7627730775831631E-2</v>
      </c>
      <c r="K57" s="7">
        <f t="shared" si="5"/>
        <v>4.2528332872081132E-2</v>
      </c>
    </row>
    <row r="58" spans="1:11" x14ac:dyDescent="0.25">
      <c r="A58">
        <v>20121</v>
      </c>
      <c r="B58" s="5">
        <v>1.7100000000000001E-2</v>
      </c>
      <c r="C58" s="6">
        <v>1.2500000000000001E-2</v>
      </c>
      <c r="D58" s="7">
        <v>2.9600000000000001E-2</v>
      </c>
      <c r="I58" s="5">
        <f t="shared" si="3"/>
        <v>1.7100000000000001E-2</v>
      </c>
      <c r="J58" s="6">
        <f t="shared" si="4"/>
        <v>7.3249535213321297E-3</v>
      </c>
      <c r="K58" s="7">
        <f t="shared" si="5"/>
        <v>2.4550210226546909E-2</v>
      </c>
    </row>
    <row r="59" spans="1:11" x14ac:dyDescent="0.25">
      <c r="A59">
        <v>20114</v>
      </c>
      <c r="B59" s="5">
        <v>1.7500000000000002E-2</v>
      </c>
      <c r="C59" s="6">
        <v>1.72E-2</v>
      </c>
      <c r="D59" s="7">
        <v>3.4700000000000002E-2</v>
      </c>
      <c r="I59" s="5">
        <f t="shared" si="3"/>
        <v>1.7500000000000002E-2</v>
      </c>
      <c r="J59" s="6">
        <f t="shared" si="4"/>
        <v>2.8871381419974355E-2</v>
      </c>
      <c r="K59" s="7">
        <f t="shared" si="5"/>
        <v>4.6876630594824054E-2</v>
      </c>
    </row>
    <row r="60" spans="1:11" x14ac:dyDescent="0.25">
      <c r="A60">
        <v>20113</v>
      </c>
      <c r="B60" s="5">
        <v>1.6299999999999999E-2</v>
      </c>
      <c r="C60" s="6">
        <v>6.6E-3</v>
      </c>
      <c r="D60" s="7">
        <v>2.29E-2</v>
      </c>
      <c r="I60" s="5">
        <f t="shared" si="3"/>
        <v>1.6299999999999999E-2</v>
      </c>
      <c r="J60" s="6">
        <f t="shared" si="4"/>
        <v>-1.5479455196047364E-3</v>
      </c>
      <c r="K60" s="7">
        <f t="shared" si="5"/>
        <v>1.4726822968425646E-2</v>
      </c>
    </row>
    <row r="61" spans="1:11" x14ac:dyDescent="0.25">
      <c r="A61">
        <v>20112</v>
      </c>
      <c r="B61" s="5">
        <v>1.7899999999999999E-2</v>
      </c>
      <c r="C61" s="6">
        <v>1.4E-2</v>
      </c>
      <c r="D61" s="7">
        <v>3.1899999999999998E-2</v>
      </c>
      <c r="I61" s="5">
        <f t="shared" si="3"/>
        <v>1.7899999999999999E-2</v>
      </c>
      <c r="J61" s="6">
        <f t="shared" si="4"/>
        <v>4.0315661880885562E-2</v>
      </c>
      <c r="K61" s="7">
        <f t="shared" si="5"/>
        <v>5.8937312228553473E-2</v>
      </c>
    </row>
    <row r="62" spans="1:11" x14ac:dyDescent="0.25">
      <c r="A62">
        <v>20111</v>
      </c>
      <c r="B62" s="5">
        <v>1.7399999999999999E-2</v>
      </c>
      <c r="C62" s="6">
        <v>-9.9000000000000008E-3</v>
      </c>
      <c r="D62" s="7">
        <v>7.4000000000000003E-3</v>
      </c>
      <c r="I62" s="5">
        <f t="shared" si="3"/>
        <v>1.7399999999999999E-2</v>
      </c>
      <c r="J62" s="6">
        <f t="shared" si="4"/>
        <v>-2.5535246807890169E-2</v>
      </c>
      <c r="K62" s="7">
        <f t="shared" si="5"/>
        <v>-8.5795601023473944E-3</v>
      </c>
    </row>
    <row r="63" spans="1:11" x14ac:dyDescent="0.25">
      <c r="A63">
        <v>20104</v>
      </c>
      <c r="B63" s="5">
        <v>8.6999999999999994E-3</v>
      </c>
      <c r="C63" s="6">
        <v>4.3E-3</v>
      </c>
      <c r="D63" s="7">
        <v>1.29E-2</v>
      </c>
      <c r="I63" s="5">
        <f t="shared" si="3"/>
        <v>8.6999999999999994E-3</v>
      </c>
      <c r="J63" s="6">
        <f t="shared" si="4"/>
        <v>-2.3064423131930294E-3</v>
      </c>
      <c r="K63" s="7">
        <f t="shared" si="5"/>
        <v>6.3734916386821716E-3</v>
      </c>
    </row>
    <row r="64" spans="1:11" x14ac:dyDescent="0.25">
      <c r="A64">
        <v>20103</v>
      </c>
      <c r="B64" s="5">
        <v>1.8700000000000001E-2</v>
      </c>
      <c r="C64" s="6">
        <v>1.03E-2</v>
      </c>
      <c r="D64" s="7">
        <v>2.9000000000000001E-2</v>
      </c>
      <c r="I64" s="5">
        <f t="shared" si="3"/>
        <v>1.8700000000000001E-2</v>
      </c>
      <c r="J64" s="6">
        <f t="shared" si="4"/>
        <v>2.5274602576570864E-2</v>
      </c>
      <c r="K64" s="7">
        <f t="shared" si="5"/>
        <v>4.4447237644752668E-2</v>
      </c>
    </row>
    <row r="65" spans="1:11" x14ac:dyDescent="0.25">
      <c r="A65">
        <v>20102</v>
      </c>
      <c r="B65" s="5">
        <v>2.07E-2</v>
      </c>
      <c r="C65" s="6">
        <v>-3.3E-3</v>
      </c>
      <c r="D65" s="7">
        <v>1.7399999999999999E-2</v>
      </c>
      <c r="I65" s="5">
        <f t="shared" si="3"/>
        <v>2.07E-2</v>
      </c>
      <c r="J65" s="6">
        <f t="shared" si="4"/>
        <v>2.2575232393339365E-2</v>
      </c>
      <c r="K65" s="7">
        <f t="shared" si="5"/>
        <v>4.3742539703881533E-2</v>
      </c>
    </row>
    <row r="66" spans="1:11" x14ac:dyDescent="0.25">
      <c r="A66">
        <v>20101</v>
      </c>
      <c r="B66" s="5">
        <v>1.9400000000000001E-2</v>
      </c>
      <c r="C66" s="6">
        <v>-2.6800000000000001E-2</v>
      </c>
      <c r="D66" s="7">
        <v>-7.3000000000000001E-3</v>
      </c>
      <c r="I66" s="5">
        <f t="shared" si="3"/>
        <v>1.9400000000000001E-2</v>
      </c>
      <c r="J66" s="6">
        <f t="shared" si="4"/>
        <v>4.5650650701350215E-2</v>
      </c>
      <c r="K66" s="7">
        <f t="shared" si="5"/>
        <v>6.5936273324956662E-2</v>
      </c>
    </row>
    <row r="67" spans="1:11" x14ac:dyDescent="0.25">
      <c r="A67">
        <v>20094</v>
      </c>
      <c r="B67" s="5">
        <v>1.8800000000000001E-2</v>
      </c>
      <c r="C67" s="6">
        <v>-9.2600000000000002E-2</v>
      </c>
      <c r="D67" s="7">
        <v>-7.3800000000000004E-2</v>
      </c>
      <c r="I67" s="5">
        <f t="shared" si="3"/>
        <v>1.8800000000000001E-2</v>
      </c>
      <c r="J67" s="6">
        <f t="shared" si="4"/>
        <v>-0.19764243277976917</v>
      </c>
      <c r="K67" s="7">
        <f t="shared" si="5"/>
        <v>-0.18255811051602899</v>
      </c>
    </row>
    <row r="68" spans="1:11" x14ac:dyDescent="0.25">
      <c r="A68">
        <v>20093</v>
      </c>
      <c r="B68" s="5">
        <v>1.61E-2</v>
      </c>
      <c r="C68" s="6">
        <v>2.8E-3</v>
      </c>
      <c r="D68" s="7">
        <v>1.89E-2</v>
      </c>
      <c r="I68" s="5">
        <f t="shared" si="3"/>
        <v>1.61E-2</v>
      </c>
      <c r="J68" s="6">
        <f t="shared" si="4"/>
        <v>6.842399364438409E-2</v>
      </c>
      <c r="K68" s="7">
        <f t="shared" si="5"/>
        <v>8.5625619942058639E-2</v>
      </c>
    </row>
    <row r="69" spans="1:11" x14ac:dyDescent="0.25">
      <c r="A69">
        <v>20092</v>
      </c>
      <c r="B69" s="5">
        <v>1.7500000000000002E-2</v>
      </c>
      <c r="C69" s="6">
        <v>-5.6800000000000003E-2</v>
      </c>
      <c r="D69" s="7">
        <v>-3.9300000000000002E-2</v>
      </c>
      <c r="I69" s="5">
        <f t="shared" si="3"/>
        <v>1.7500000000000002E-2</v>
      </c>
      <c r="J69" s="6">
        <f t="shared" si="4"/>
        <v>-0.10370574042367052</v>
      </c>
      <c r="K69" s="7">
        <f t="shared" si="5"/>
        <v>-8.8020590881084715E-2</v>
      </c>
    </row>
    <row r="70" spans="1:11" x14ac:dyDescent="0.25">
      <c r="A70">
        <v>20091</v>
      </c>
      <c r="B70" s="5">
        <v>1.84E-2</v>
      </c>
      <c r="C70" s="6">
        <v>-1.4200000000000001E-2</v>
      </c>
      <c r="D70" s="7">
        <v>4.1999999999999997E-3</v>
      </c>
      <c r="I70" s="5">
        <f t="shared" si="3"/>
        <v>1.84E-2</v>
      </c>
      <c r="J70" s="6">
        <f t="shared" si="4"/>
        <v>8.9080714829584351E-2</v>
      </c>
      <c r="K70" s="7">
        <f t="shared" si="5"/>
        <v>0.1091197999824487</v>
      </c>
    </row>
    <row r="71" spans="1:11" x14ac:dyDescent="0.25">
      <c r="A71">
        <v>20084</v>
      </c>
      <c r="B71" s="5">
        <v>1.3100000000000001E-2</v>
      </c>
      <c r="C71" s="6">
        <v>-0.108</v>
      </c>
      <c r="D71" s="7">
        <v>-9.5000000000000001E-2</v>
      </c>
      <c r="I71" s="5">
        <f t="shared" si="3"/>
        <v>1.3100000000000001E-2</v>
      </c>
      <c r="J71" s="6">
        <f t="shared" si="4"/>
        <v>-0.19091085103057251</v>
      </c>
      <c r="K71" s="7">
        <f t="shared" ref="K71:K73" si="6">(1+I71)*(1+J71)-1</f>
        <v>-0.18031178317907293</v>
      </c>
    </row>
    <row r="72" spans="1:11" x14ac:dyDescent="0.25">
      <c r="A72">
        <v>20083</v>
      </c>
      <c r="B72" s="5">
        <v>1.61E-2</v>
      </c>
      <c r="C72" s="6">
        <v>-3.27E-2</v>
      </c>
      <c r="D72" s="7">
        <v>-1.66E-2</v>
      </c>
      <c r="I72" s="5">
        <f t="shared" si="3"/>
        <v>1.61E-2</v>
      </c>
      <c r="J72" s="6">
        <f t="shared" si="4"/>
        <v>-6.6172641053511339E-2</v>
      </c>
      <c r="K72" s="7">
        <f t="shared" si="6"/>
        <v>-5.1138020574472809E-2</v>
      </c>
    </row>
    <row r="73" spans="1:11" x14ac:dyDescent="0.25">
      <c r="A73">
        <v>20082</v>
      </c>
      <c r="B73" s="8">
        <v>1.46E-2</v>
      </c>
      <c r="C73" s="9">
        <v>-2.3E-3</v>
      </c>
      <c r="D73" s="10">
        <v>1.23E-2</v>
      </c>
      <c r="I73" s="8">
        <f t="shared" si="3"/>
        <v>1.46E-2</v>
      </c>
      <c r="J73" s="9">
        <f t="shared" si="4"/>
        <v>-4.8324695533906612E-3</v>
      </c>
      <c r="K73" s="10">
        <f t="shared" si="6"/>
        <v>9.6969763911298745E-3</v>
      </c>
    </row>
  </sheetData>
  <mergeCells count="8">
    <mergeCell ref="I5:K5"/>
    <mergeCell ref="M3:N3"/>
    <mergeCell ref="M4:N4"/>
    <mergeCell ref="A1:B1"/>
    <mergeCell ref="A2:B2"/>
    <mergeCell ref="B5:D5"/>
    <mergeCell ref="F3:G3"/>
    <mergeCell ref="F4:G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73"/>
  <sheetViews>
    <sheetView workbookViewId="0">
      <selection sqref="A1:B1"/>
    </sheetView>
  </sheetViews>
  <sheetFormatPr defaultRowHeight="15" x14ac:dyDescent="0.25"/>
  <cols>
    <col min="1" max="4" width="12.7109375" customWidth="1"/>
    <col min="5" max="5" width="4.7109375" customWidth="1"/>
    <col min="6" max="7" width="12.7109375" customWidth="1"/>
    <col min="8" max="8" width="4.7109375" customWidth="1"/>
    <col min="9" max="11" width="12.7109375" customWidth="1"/>
    <col min="12" max="12" width="4.7109375" customWidth="1"/>
    <col min="13" max="14" width="12.7109375" customWidth="1"/>
  </cols>
  <sheetData>
    <row r="1" spans="1:14" x14ac:dyDescent="0.25">
      <c r="A1" s="41" t="s">
        <v>17</v>
      </c>
      <c r="B1" s="40"/>
      <c r="C1" s="15" t="s">
        <v>15</v>
      </c>
    </row>
    <row r="2" spans="1:14" x14ac:dyDescent="0.25">
      <c r="A2" s="39" t="s">
        <v>18</v>
      </c>
      <c r="B2" s="40"/>
      <c r="C2" s="18">
        <f>CORREL(C7:C18,C9:C20)</f>
        <v>0.63021644155243395</v>
      </c>
    </row>
    <row r="3" spans="1:14" x14ac:dyDescent="0.25">
      <c r="F3" s="36" t="s">
        <v>1</v>
      </c>
      <c r="G3" s="35"/>
      <c r="M3" s="36" t="s">
        <v>2</v>
      </c>
      <c r="N3" s="35"/>
    </row>
    <row r="4" spans="1:14" x14ac:dyDescent="0.25">
      <c r="F4" s="37">
        <f>STDEV(D7:D20)*SQRT(4)</f>
        <v>0.10315874888989043</v>
      </c>
      <c r="G4" s="38"/>
      <c r="M4" s="37">
        <f>STDEV(K7:K20)*SQRT(4)</f>
        <v>0.22680716413377808</v>
      </c>
      <c r="N4" s="38"/>
    </row>
    <row r="5" spans="1:14" x14ac:dyDescent="0.25">
      <c r="B5" s="33" t="s">
        <v>20</v>
      </c>
      <c r="C5" s="34"/>
      <c r="D5" s="35"/>
      <c r="I5" s="33" t="s">
        <v>21</v>
      </c>
      <c r="J5" s="34"/>
      <c r="K5" s="35"/>
    </row>
    <row r="6" spans="1:14" x14ac:dyDescent="0.25">
      <c r="B6" s="2" t="s">
        <v>22</v>
      </c>
      <c r="C6" s="3" t="s">
        <v>23</v>
      </c>
      <c r="D6" s="4" t="s">
        <v>24</v>
      </c>
      <c r="I6" s="12" t="s">
        <v>22</v>
      </c>
      <c r="J6" s="13" t="s">
        <v>23</v>
      </c>
      <c r="K6" s="14" t="s">
        <v>24</v>
      </c>
    </row>
    <row r="7" spans="1:14" x14ac:dyDescent="0.25">
      <c r="A7">
        <v>20244</v>
      </c>
      <c r="B7" s="5">
        <v>9.4999999999999998E-3</v>
      </c>
      <c r="C7" s="6">
        <v>-1E-3</v>
      </c>
      <c r="D7" s="7">
        <v>8.3999999999999995E-3</v>
      </c>
      <c r="I7" s="5">
        <f t="shared" ref="I7:I20" si="0">+B7</f>
        <v>9.4999999999999998E-3</v>
      </c>
      <c r="J7" s="6">
        <f t="shared" ref="J7:J20" si="1">(C7-($C$2*C8))/(1-$C$2)</f>
        <v>3.6342771798340238E-4</v>
      </c>
      <c r="K7" s="7">
        <f t="shared" ref="K7:K20" si="2">(1+I7)*(1+J7)-1</f>
        <v>9.8668802813042245E-3</v>
      </c>
    </row>
    <row r="8" spans="1:14" x14ac:dyDescent="0.25">
      <c r="A8">
        <v>20243</v>
      </c>
      <c r="B8" s="5">
        <v>9.1999999999999998E-3</v>
      </c>
      <c r="C8" s="6">
        <v>-1.8E-3</v>
      </c>
      <c r="D8" s="7">
        <v>7.3000000000000001E-3</v>
      </c>
      <c r="I8" s="5">
        <f t="shared" si="0"/>
        <v>9.1999999999999998E-3</v>
      </c>
      <c r="J8" s="6">
        <f t="shared" si="1"/>
        <v>-1.0662280166892116E-2</v>
      </c>
      <c r="K8" s="7">
        <f t="shared" si="2"/>
        <v>-1.5603731444273627E-3</v>
      </c>
    </row>
    <row r="9" spans="1:14" x14ac:dyDescent="0.25">
      <c r="A9">
        <v>20242</v>
      </c>
      <c r="B9" s="5">
        <v>8.8999999999999999E-3</v>
      </c>
      <c r="C9" s="6">
        <v>3.3999999999999998E-3</v>
      </c>
      <c r="D9" s="7">
        <v>1.23E-2</v>
      </c>
      <c r="I9" s="5">
        <f t="shared" si="0"/>
        <v>8.8999999999999999E-3</v>
      </c>
      <c r="J9" s="6">
        <f t="shared" si="1"/>
        <v>4.140554763878735E-2</v>
      </c>
      <c r="K9" s="7">
        <f t="shared" si="2"/>
        <v>5.0674057012772389E-2</v>
      </c>
    </row>
    <row r="10" spans="1:14" x14ac:dyDescent="0.25">
      <c r="A10">
        <v>20241</v>
      </c>
      <c r="B10" s="5">
        <v>8.0999999999999996E-3</v>
      </c>
      <c r="C10" s="6">
        <v>-1.89E-2</v>
      </c>
      <c r="D10" s="7">
        <v>-1.09E-2</v>
      </c>
      <c r="I10" s="5">
        <f t="shared" si="0"/>
        <v>8.0999999999999996E-3</v>
      </c>
      <c r="J10" s="6">
        <f t="shared" si="1"/>
        <v>8.6970191075933239E-4</v>
      </c>
      <c r="K10" s="7">
        <f t="shared" si="2"/>
        <v>8.9767464962364762E-3</v>
      </c>
    </row>
    <row r="11" spans="1:14" x14ac:dyDescent="0.25">
      <c r="A11">
        <v>20234</v>
      </c>
      <c r="B11" s="5">
        <v>7.4000000000000003E-3</v>
      </c>
      <c r="C11" s="6">
        <v>-3.0499999999999999E-2</v>
      </c>
      <c r="D11" s="7">
        <v>-2.3099999999999999E-2</v>
      </c>
      <c r="I11" s="5">
        <f t="shared" si="0"/>
        <v>7.4000000000000003E-3</v>
      </c>
      <c r="J11" s="6">
        <f t="shared" si="1"/>
        <v>-5.2996557346726134E-2</v>
      </c>
      <c r="K11" s="7">
        <f t="shared" si="2"/>
        <v>-4.598873187109187E-2</v>
      </c>
    </row>
    <row r="12" spans="1:14" x14ac:dyDescent="0.25">
      <c r="A12">
        <v>20233</v>
      </c>
      <c r="B12" s="5">
        <v>8.0000000000000002E-3</v>
      </c>
      <c r="C12" s="6">
        <v>-1.7299999999999999E-2</v>
      </c>
      <c r="D12" s="7">
        <v>-9.2999999999999992E-3</v>
      </c>
      <c r="I12" s="5">
        <f t="shared" si="0"/>
        <v>8.0000000000000002E-3</v>
      </c>
      <c r="J12" s="6">
        <f t="shared" si="1"/>
        <v>-4.0137414276221993E-2</v>
      </c>
      <c r="K12" s="7">
        <f t="shared" si="2"/>
        <v>-3.2458513590431726E-2</v>
      </c>
    </row>
    <row r="13" spans="1:14" x14ac:dyDescent="0.25">
      <c r="A13">
        <v>20232</v>
      </c>
      <c r="B13" s="5">
        <v>8.3999999999999995E-3</v>
      </c>
      <c r="C13" s="6">
        <v>-3.8999999999999998E-3</v>
      </c>
      <c r="D13" s="7">
        <v>4.4999999999999997E-3</v>
      </c>
      <c r="I13" s="5">
        <f t="shared" si="0"/>
        <v>8.3999999999999995E-3</v>
      </c>
      <c r="J13" s="6">
        <f t="shared" si="1"/>
        <v>3.5809832286266594E-2</v>
      </c>
      <c r="K13" s="7">
        <f t="shared" si="2"/>
        <v>4.4510634877471089E-2</v>
      </c>
    </row>
    <row r="14" spans="1:14" x14ac:dyDescent="0.25">
      <c r="A14">
        <v>20231</v>
      </c>
      <c r="B14" s="5">
        <v>7.7999999999999996E-3</v>
      </c>
      <c r="C14" s="6">
        <v>-2.7199999999999998E-2</v>
      </c>
      <c r="D14" s="7">
        <v>-1.95E-2</v>
      </c>
      <c r="I14" s="5">
        <f t="shared" si="0"/>
        <v>7.7999999999999996E-3</v>
      </c>
      <c r="J14" s="6">
        <f t="shared" si="1"/>
        <v>-1.2372723566930489E-2</v>
      </c>
      <c r="K14" s="7">
        <f t="shared" si="2"/>
        <v>-4.6692308107525449E-3</v>
      </c>
    </row>
    <row r="15" spans="1:14" x14ac:dyDescent="0.25">
      <c r="A15">
        <v>20224</v>
      </c>
      <c r="B15" s="5">
        <v>7.6E-3</v>
      </c>
      <c r="C15" s="6">
        <v>-3.5900000000000001E-2</v>
      </c>
      <c r="D15" s="7">
        <v>-2.8299999999999999E-2</v>
      </c>
      <c r="I15" s="5">
        <f t="shared" si="0"/>
        <v>7.6E-3</v>
      </c>
      <c r="J15" s="6">
        <f t="shared" si="1"/>
        <v>-0.14463336050917636</v>
      </c>
      <c r="K15" s="7">
        <f t="shared" si="2"/>
        <v>-0.138132574049046</v>
      </c>
    </row>
    <row r="16" spans="1:14" x14ac:dyDescent="0.25">
      <c r="A16">
        <v>20223</v>
      </c>
      <c r="B16" s="5">
        <v>7.9000000000000008E-3</v>
      </c>
      <c r="C16" s="6">
        <v>2.7900000000000001E-2</v>
      </c>
      <c r="D16" s="7">
        <v>3.5799999999999998E-2</v>
      </c>
      <c r="I16" s="5">
        <f t="shared" si="0"/>
        <v>7.9000000000000008E-3</v>
      </c>
      <c r="J16" s="6">
        <f t="shared" si="1"/>
        <v>-1.0446404568283201E-2</v>
      </c>
      <c r="K16" s="7">
        <f t="shared" si="2"/>
        <v>-2.6289311643725721E-3</v>
      </c>
    </row>
    <row r="17" spans="1:11" x14ac:dyDescent="0.25">
      <c r="A17">
        <v>20222</v>
      </c>
      <c r="B17" s="5">
        <v>8.0000000000000002E-3</v>
      </c>
      <c r="C17" s="6">
        <v>5.04E-2</v>
      </c>
      <c r="D17" s="7">
        <v>5.8400000000000001E-2</v>
      </c>
      <c r="I17" s="5">
        <f t="shared" si="0"/>
        <v>8.0000000000000002E-3</v>
      </c>
      <c r="J17" s="6">
        <f t="shared" si="1"/>
        <v>5.1081713858991691E-2</v>
      </c>
      <c r="K17" s="7">
        <f t="shared" si="2"/>
        <v>5.9490367569863478E-2</v>
      </c>
    </row>
    <row r="18" spans="1:11" x14ac:dyDescent="0.25">
      <c r="A18">
        <v>20221</v>
      </c>
      <c r="B18" s="5">
        <v>7.7000000000000002E-3</v>
      </c>
      <c r="C18" s="6">
        <v>0.05</v>
      </c>
      <c r="D18" s="7">
        <v>5.7700000000000001E-2</v>
      </c>
      <c r="I18" s="5">
        <f t="shared" si="0"/>
        <v>7.7000000000000002E-3</v>
      </c>
      <c r="J18" s="6">
        <f t="shared" si="1"/>
        <v>-0.12332574864864003</v>
      </c>
      <c r="K18" s="7">
        <f t="shared" si="2"/>
        <v>-0.11657535691323451</v>
      </c>
    </row>
    <row r="19" spans="1:11" x14ac:dyDescent="0.25">
      <c r="A19">
        <v>20214</v>
      </c>
      <c r="B19" s="5">
        <v>7.4999999999999997E-3</v>
      </c>
      <c r="C19" s="6">
        <v>0.1517</v>
      </c>
      <c r="D19" s="7">
        <v>0.15920000000000001</v>
      </c>
      <c r="I19" s="5">
        <f t="shared" si="0"/>
        <v>7.4999999999999997E-3</v>
      </c>
      <c r="J19" s="6">
        <f t="shared" si="1"/>
        <v>0.28292991785590249</v>
      </c>
      <c r="K19" s="7">
        <f t="shared" si="2"/>
        <v>0.29255189223982203</v>
      </c>
    </row>
    <row r="20" spans="1:11" x14ac:dyDescent="0.25">
      <c r="A20">
        <v>20213</v>
      </c>
      <c r="B20" s="8">
        <v>9.5999999999999992E-3</v>
      </c>
      <c r="C20" s="9">
        <v>7.4700000000000003E-2</v>
      </c>
      <c r="D20" s="10">
        <v>8.43E-2</v>
      </c>
      <c r="I20" s="8">
        <f t="shared" si="0"/>
        <v>9.5999999999999992E-3</v>
      </c>
      <c r="J20" s="9">
        <f t="shared" si="1"/>
        <v>0.20201006316670023</v>
      </c>
      <c r="K20" s="10">
        <f t="shared" si="2"/>
        <v>0.21354935977310063</v>
      </c>
    </row>
    <row r="21" spans="1:11" x14ac:dyDescent="0.25">
      <c r="I21" s="6"/>
      <c r="J21" s="6"/>
      <c r="K21" s="6"/>
    </row>
    <row r="22" spans="1:11" x14ac:dyDescent="0.25">
      <c r="I22" s="6"/>
      <c r="J22" s="6"/>
      <c r="K22" s="6"/>
    </row>
    <row r="23" spans="1:11" x14ac:dyDescent="0.25">
      <c r="I23" s="6"/>
      <c r="J23" s="6"/>
      <c r="K23" s="6"/>
    </row>
    <row r="24" spans="1:11" x14ac:dyDescent="0.25">
      <c r="I24" s="6"/>
      <c r="J24" s="6"/>
      <c r="K24" s="6"/>
    </row>
    <row r="25" spans="1:11" x14ac:dyDescent="0.25">
      <c r="I25" s="6"/>
      <c r="J25" s="6"/>
      <c r="K25" s="6"/>
    </row>
    <row r="26" spans="1:11" x14ac:dyDescent="0.25">
      <c r="I26" s="6"/>
      <c r="J26" s="6"/>
      <c r="K26" s="6"/>
    </row>
    <row r="27" spans="1:11" x14ac:dyDescent="0.25">
      <c r="I27" s="6"/>
      <c r="J27" s="6"/>
      <c r="K27" s="6"/>
    </row>
    <row r="28" spans="1:11" x14ac:dyDescent="0.25">
      <c r="I28" s="6"/>
      <c r="J28" s="6"/>
      <c r="K28" s="6"/>
    </row>
    <row r="29" spans="1:11" x14ac:dyDescent="0.25">
      <c r="I29" s="6"/>
      <c r="J29" s="6"/>
      <c r="K29" s="6"/>
    </row>
    <row r="30" spans="1:11" x14ac:dyDescent="0.25">
      <c r="I30" s="6"/>
      <c r="J30" s="6"/>
      <c r="K30" s="6"/>
    </row>
    <row r="31" spans="1:11" x14ac:dyDescent="0.25">
      <c r="I31" s="6"/>
      <c r="J31" s="6"/>
      <c r="K31" s="6"/>
    </row>
    <row r="32" spans="1:11" x14ac:dyDescent="0.25">
      <c r="I32" s="6"/>
      <c r="J32" s="6"/>
      <c r="K32" s="6"/>
    </row>
    <row r="33" spans="9:11" x14ac:dyDescent="0.25">
      <c r="I33" s="6"/>
      <c r="J33" s="6"/>
      <c r="K33" s="6"/>
    </row>
    <row r="34" spans="9:11" x14ac:dyDescent="0.25">
      <c r="I34" s="6"/>
      <c r="J34" s="6"/>
      <c r="K34" s="6"/>
    </row>
    <row r="35" spans="9:11" x14ac:dyDescent="0.25">
      <c r="I35" s="6"/>
      <c r="J35" s="6"/>
      <c r="K35" s="6"/>
    </row>
    <row r="36" spans="9:11" x14ac:dyDescent="0.25">
      <c r="I36" s="6"/>
      <c r="J36" s="6"/>
      <c r="K36" s="6"/>
    </row>
    <row r="37" spans="9:11" x14ac:dyDescent="0.25">
      <c r="I37" s="6"/>
      <c r="J37" s="6"/>
      <c r="K37" s="6"/>
    </row>
    <row r="38" spans="9:11" x14ac:dyDescent="0.25">
      <c r="I38" s="6"/>
      <c r="J38" s="6"/>
      <c r="K38" s="6"/>
    </row>
    <row r="39" spans="9:11" x14ac:dyDescent="0.25">
      <c r="I39" s="6"/>
      <c r="J39" s="6"/>
      <c r="K39" s="6"/>
    </row>
    <row r="40" spans="9:11" x14ac:dyDescent="0.25">
      <c r="I40" s="6"/>
      <c r="J40" s="6"/>
      <c r="K40" s="6"/>
    </row>
    <row r="41" spans="9:11" x14ac:dyDescent="0.25">
      <c r="I41" s="6"/>
      <c r="J41" s="6"/>
      <c r="K41" s="6"/>
    </row>
    <row r="42" spans="9:11" x14ac:dyDescent="0.25">
      <c r="I42" s="6"/>
      <c r="J42" s="6"/>
      <c r="K42" s="6"/>
    </row>
    <row r="43" spans="9:11" x14ac:dyDescent="0.25">
      <c r="I43" s="6"/>
      <c r="J43" s="6"/>
      <c r="K43" s="6"/>
    </row>
    <row r="44" spans="9:11" x14ac:dyDescent="0.25">
      <c r="I44" s="6"/>
      <c r="J44" s="6"/>
      <c r="K44" s="6"/>
    </row>
    <row r="45" spans="9:11" x14ac:dyDescent="0.25">
      <c r="I45" s="6"/>
      <c r="J45" s="6"/>
      <c r="K45" s="6"/>
    </row>
    <row r="46" spans="9:11" x14ac:dyDescent="0.25">
      <c r="I46" s="6"/>
      <c r="J46" s="6"/>
      <c r="K46" s="6"/>
    </row>
    <row r="47" spans="9:11" x14ac:dyDescent="0.25">
      <c r="I47" s="6"/>
      <c r="J47" s="6"/>
      <c r="K47" s="6"/>
    </row>
    <row r="48" spans="9:11" x14ac:dyDescent="0.25">
      <c r="I48" s="6"/>
      <c r="J48" s="6"/>
      <c r="K48" s="6"/>
    </row>
    <row r="49" spans="9:11" x14ac:dyDescent="0.25">
      <c r="I49" s="6"/>
      <c r="J49" s="6"/>
      <c r="K49" s="6"/>
    </row>
    <row r="50" spans="9:11" x14ac:dyDescent="0.25">
      <c r="I50" s="6"/>
      <c r="J50" s="6"/>
      <c r="K50" s="6"/>
    </row>
    <row r="51" spans="9:11" x14ac:dyDescent="0.25">
      <c r="I51" s="6"/>
      <c r="J51" s="6"/>
      <c r="K51" s="6"/>
    </row>
    <row r="52" spans="9:11" x14ac:dyDescent="0.25">
      <c r="I52" s="6"/>
      <c r="J52" s="6"/>
      <c r="K52" s="6"/>
    </row>
    <row r="53" spans="9:11" x14ac:dyDescent="0.25">
      <c r="I53" s="6"/>
      <c r="J53" s="6"/>
      <c r="K53" s="6"/>
    </row>
    <row r="54" spans="9:11" x14ac:dyDescent="0.25">
      <c r="I54" s="6"/>
      <c r="J54" s="6"/>
      <c r="K54" s="6"/>
    </row>
    <row r="55" spans="9:11" x14ac:dyDescent="0.25">
      <c r="I55" s="6"/>
      <c r="J55" s="6"/>
      <c r="K55" s="6"/>
    </row>
    <row r="56" spans="9:11" x14ac:dyDescent="0.25">
      <c r="I56" s="6"/>
      <c r="J56" s="6"/>
      <c r="K56" s="6"/>
    </row>
    <row r="57" spans="9:11" x14ac:dyDescent="0.25">
      <c r="I57" s="6"/>
      <c r="J57" s="6"/>
      <c r="K57" s="6"/>
    </row>
    <row r="58" spans="9:11" x14ac:dyDescent="0.25">
      <c r="I58" s="6"/>
      <c r="J58" s="6"/>
      <c r="K58" s="6"/>
    </row>
    <row r="59" spans="9:11" x14ac:dyDescent="0.25">
      <c r="I59" s="6"/>
      <c r="J59" s="6"/>
      <c r="K59" s="6"/>
    </row>
    <row r="60" spans="9:11" x14ac:dyDescent="0.25">
      <c r="I60" s="6"/>
      <c r="J60" s="6"/>
      <c r="K60" s="6"/>
    </row>
    <row r="61" spans="9:11" x14ac:dyDescent="0.25">
      <c r="I61" s="6"/>
      <c r="J61" s="6"/>
      <c r="K61" s="6"/>
    </row>
    <row r="62" spans="9:11" x14ac:dyDescent="0.25">
      <c r="I62" s="6"/>
      <c r="J62" s="6"/>
      <c r="K62" s="6"/>
    </row>
    <row r="63" spans="9:11" x14ac:dyDescent="0.25">
      <c r="I63" s="6"/>
      <c r="J63" s="6"/>
      <c r="K63" s="6"/>
    </row>
    <row r="64" spans="9:11" x14ac:dyDescent="0.25">
      <c r="I64" s="6"/>
      <c r="J64" s="6"/>
      <c r="K64" s="6"/>
    </row>
    <row r="65" spans="9:11" x14ac:dyDescent="0.25">
      <c r="I65" s="6"/>
      <c r="J65" s="6"/>
      <c r="K65" s="6"/>
    </row>
    <row r="66" spans="9:11" x14ac:dyDescent="0.25">
      <c r="I66" s="6"/>
      <c r="J66" s="6"/>
      <c r="K66" s="6"/>
    </row>
    <row r="67" spans="9:11" x14ac:dyDescent="0.25">
      <c r="I67" s="6"/>
      <c r="J67" s="6"/>
      <c r="K67" s="6"/>
    </row>
    <row r="68" spans="9:11" x14ac:dyDescent="0.25">
      <c r="I68" s="6"/>
      <c r="J68" s="6"/>
      <c r="K68" s="6"/>
    </row>
    <row r="69" spans="9:11" x14ac:dyDescent="0.25">
      <c r="I69" s="6"/>
      <c r="J69" s="6"/>
      <c r="K69" s="6"/>
    </row>
    <row r="70" spans="9:11" x14ac:dyDescent="0.25">
      <c r="I70" s="6"/>
      <c r="J70" s="6"/>
      <c r="K70" s="6"/>
    </row>
    <row r="71" spans="9:11" x14ac:dyDescent="0.25">
      <c r="I71" s="6"/>
      <c r="J71" s="6"/>
      <c r="K71" s="6"/>
    </row>
    <row r="72" spans="9:11" x14ac:dyDescent="0.25">
      <c r="I72" s="6"/>
      <c r="J72" s="6"/>
      <c r="K72" s="6"/>
    </row>
    <row r="73" spans="9:11" x14ac:dyDescent="0.25">
      <c r="I73" s="6"/>
      <c r="J73" s="6"/>
      <c r="K73" s="6"/>
    </row>
  </sheetData>
  <mergeCells count="8">
    <mergeCell ref="M3:N3"/>
    <mergeCell ref="M4:N4"/>
    <mergeCell ref="A1:B1"/>
    <mergeCell ref="A2:B2"/>
    <mergeCell ref="B5:D5"/>
    <mergeCell ref="F3:G3"/>
    <mergeCell ref="F4:G4"/>
    <mergeCell ref="I5:K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2"/>
  <sheetViews>
    <sheetView workbookViewId="0">
      <selection sqref="A1:B1"/>
    </sheetView>
  </sheetViews>
  <sheetFormatPr defaultRowHeight="15" x14ac:dyDescent="0.25"/>
  <cols>
    <col min="1" max="4" width="12.7109375" customWidth="1"/>
    <col min="5" max="5" width="4.7109375" customWidth="1"/>
    <col min="6" max="7" width="12.7109375" customWidth="1"/>
    <col min="8" max="8" width="4.7109375" customWidth="1"/>
    <col min="9" max="11" width="12.7109375" customWidth="1"/>
    <col min="12" max="12" width="4.7109375" customWidth="1"/>
    <col min="13" max="17" width="12.7109375" customWidth="1"/>
  </cols>
  <sheetData>
    <row r="1" spans="1:14" x14ac:dyDescent="0.25">
      <c r="A1" s="41" t="s">
        <v>17</v>
      </c>
      <c r="B1" s="40"/>
      <c r="C1" s="15" t="s">
        <v>8</v>
      </c>
    </row>
    <row r="2" spans="1:14" x14ac:dyDescent="0.25">
      <c r="A2" s="39" t="s">
        <v>18</v>
      </c>
      <c r="B2" s="40"/>
      <c r="C2" s="18">
        <f>CORREL(C7:C86,C9:C88)</f>
        <v>0.32617882443720619</v>
      </c>
    </row>
    <row r="3" spans="1:14" x14ac:dyDescent="0.25">
      <c r="F3" s="36" t="s">
        <v>1</v>
      </c>
      <c r="G3" s="35"/>
      <c r="M3" s="36" t="s">
        <v>2</v>
      </c>
      <c r="N3" s="35"/>
    </row>
    <row r="4" spans="1:14" x14ac:dyDescent="0.25">
      <c r="F4" s="37">
        <f t="array" ref="F4">+(STDEV(D7:D86+1)*SQRT(4))</f>
        <v>6.1521606320899945E-2</v>
      </c>
      <c r="G4" s="38"/>
      <c r="M4" s="37">
        <f t="array" ref="M4">+(STDEV(K7:K86+1)*SQRT(4))</f>
        <v>7.9697376398971648E-2</v>
      </c>
      <c r="N4" s="38"/>
    </row>
    <row r="5" spans="1:14" x14ac:dyDescent="0.25">
      <c r="B5" s="33" t="s">
        <v>20</v>
      </c>
      <c r="C5" s="34"/>
      <c r="D5" s="35"/>
      <c r="I5" s="33" t="s">
        <v>21</v>
      </c>
      <c r="J5" s="34"/>
      <c r="K5" s="35"/>
    </row>
    <row r="6" spans="1:14" x14ac:dyDescent="0.25">
      <c r="B6" s="2" t="s">
        <v>22</v>
      </c>
      <c r="C6" s="3" t="s">
        <v>23</v>
      </c>
      <c r="D6" s="4" t="s">
        <v>24</v>
      </c>
      <c r="I6" s="12" t="s">
        <v>22</v>
      </c>
      <c r="J6" s="13" t="s">
        <v>23</v>
      </c>
      <c r="K6" s="14" t="s">
        <v>24</v>
      </c>
    </row>
    <row r="7" spans="1:14" x14ac:dyDescent="0.25">
      <c r="A7">
        <v>20244</v>
      </c>
      <c r="B7" s="5">
        <v>1.3100000000000001E-2</v>
      </c>
      <c r="C7" s="6">
        <v>7.7000000000000002E-3</v>
      </c>
      <c r="D7" s="7">
        <v>2.07E-2</v>
      </c>
      <c r="I7" s="5">
        <f t="shared" ref="I7:I38" si="0">+B7</f>
        <v>1.3100000000000001E-2</v>
      </c>
      <c r="J7" s="6">
        <f t="shared" ref="J7:J38" si="1">(C7-($C$2*C8))/(1-$C$2)</f>
        <v>1.3557286649375111E-2</v>
      </c>
      <c r="K7" s="7">
        <f t="shared" ref="K7:K38" si="2">(1+I7)*(1+J7)-1</f>
        <v>2.6834887104482119E-2</v>
      </c>
    </row>
    <row r="8" spans="1:14" x14ac:dyDescent="0.25">
      <c r="A8">
        <v>20243</v>
      </c>
      <c r="B8" s="5">
        <v>1.15E-2</v>
      </c>
      <c r="C8" s="6">
        <v>-4.4000000000000003E-3</v>
      </c>
      <c r="D8" s="7">
        <v>7.1000000000000004E-3</v>
      </c>
      <c r="I8" s="5">
        <f t="shared" si="0"/>
        <v>1.15E-2</v>
      </c>
      <c r="J8" s="6">
        <f t="shared" si="1"/>
        <v>-4.6904439660847164E-3</v>
      </c>
      <c r="K8" s="7">
        <f t="shared" si="2"/>
        <v>6.7556159283053141E-3</v>
      </c>
    </row>
    <row r="9" spans="1:14" x14ac:dyDescent="0.25">
      <c r="A9">
        <v>20242</v>
      </c>
      <c r="B9" s="5">
        <v>1.29E-2</v>
      </c>
      <c r="C9" s="6">
        <v>-3.8E-3</v>
      </c>
      <c r="D9" s="7">
        <v>9.1000000000000004E-3</v>
      </c>
      <c r="I9" s="5">
        <f t="shared" si="0"/>
        <v>1.29E-2</v>
      </c>
      <c r="J9" s="6">
        <f t="shared" si="1"/>
        <v>2.6621552518602811E-4</v>
      </c>
      <c r="K9" s="7">
        <f t="shared" si="2"/>
        <v>1.3169649705460751E-2</v>
      </c>
    </row>
    <row r="10" spans="1:14" x14ac:dyDescent="0.25">
      <c r="A10">
        <v>20241</v>
      </c>
      <c r="B10" s="5">
        <v>1.1299999999999999E-2</v>
      </c>
      <c r="C10" s="6">
        <v>-1.2200000000000001E-2</v>
      </c>
      <c r="D10" s="7">
        <v>-1E-3</v>
      </c>
      <c r="I10" s="5">
        <f t="shared" si="0"/>
        <v>1.1299999999999999E-2</v>
      </c>
      <c r="J10" s="6">
        <f t="shared" si="1"/>
        <v>-1.3567585995039274E-3</v>
      </c>
      <c r="K10" s="7">
        <f t="shared" si="2"/>
        <v>9.9279100283218291E-3</v>
      </c>
    </row>
    <row r="11" spans="1:14" x14ac:dyDescent="0.25">
      <c r="A11">
        <v>20234</v>
      </c>
      <c r="B11" s="5">
        <v>1.0200000000000001E-2</v>
      </c>
      <c r="C11" s="6">
        <v>-3.4599999999999999E-2</v>
      </c>
      <c r="D11" s="7">
        <v>-2.4400000000000002E-2</v>
      </c>
      <c r="I11" s="5">
        <f t="shared" si="0"/>
        <v>1.0200000000000001E-2</v>
      </c>
      <c r="J11" s="6">
        <f t="shared" si="1"/>
        <v>-4.1328618547629252E-2</v>
      </c>
      <c r="K11" s="7">
        <f t="shared" si="2"/>
        <v>-3.1550170456815074E-2</v>
      </c>
    </row>
    <row r="12" spans="1:14" x14ac:dyDescent="0.25">
      <c r="A12">
        <v>20233</v>
      </c>
      <c r="B12" s="5">
        <v>1.01E-2</v>
      </c>
      <c r="C12" s="6">
        <v>-2.07E-2</v>
      </c>
      <c r="D12" s="7">
        <v>-1.0500000000000001E-2</v>
      </c>
      <c r="I12" s="5">
        <f t="shared" si="0"/>
        <v>1.01E-2</v>
      </c>
      <c r="J12" s="6">
        <f t="shared" si="1"/>
        <v>-2.8396765101244975E-2</v>
      </c>
      <c r="K12" s="7">
        <f t="shared" si="2"/>
        <v>-1.8583572428767625E-2</v>
      </c>
    </row>
    <row r="13" spans="1:14" x14ac:dyDescent="0.25">
      <c r="A13">
        <v>20232</v>
      </c>
      <c r="B13" s="5">
        <v>9.4999999999999998E-3</v>
      </c>
      <c r="C13" s="6">
        <v>-4.7999999999999996E-3</v>
      </c>
      <c r="D13" s="7">
        <v>4.7000000000000002E-3</v>
      </c>
      <c r="I13" s="5">
        <f t="shared" si="0"/>
        <v>9.4999999999999998E-3</v>
      </c>
      <c r="J13" s="6">
        <f t="shared" si="1"/>
        <v>-3.2509655142148454E-3</v>
      </c>
      <c r="K13" s="7">
        <f t="shared" si="2"/>
        <v>6.2181503134002281E-3</v>
      </c>
    </row>
    <row r="14" spans="1:14" x14ac:dyDescent="0.25">
      <c r="A14">
        <v>20231</v>
      </c>
      <c r="B14" s="5">
        <v>8.9999999999999993E-3</v>
      </c>
      <c r="C14" s="6">
        <v>-8.0000000000000002E-3</v>
      </c>
      <c r="D14" s="7">
        <v>1E-3</v>
      </c>
      <c r="I14" s="5">
        <f t="shared" si="0"/>
        <v>8.9999999999999993E-3</v>
      </c>
      <c r="J14" s="6">
        <f t="shared" si="1"/>
        <v>-3.4497111980061126E-3</v>
      </c>
      <c r="K14" s="7">
        <f t="shared" si="2"/>
        <v>5.5192414012117386E-3</v>
      </c>
    </row>
    <row r="15" spans="1:14" x14ac:dyDescent="0.25">
      <c r="A15">
        <v>20224</v>
      </c>
      <c r="B15" s="5">
        <v>8.8999999999999999E-3</v>
      </c>
      <c r="C15" s="6">
        <v>-1.7399999999999999E-2</v>
      </c>
      <c r="D15" s="7">
        <v>-8.5000000000000006E-3</v>
      </c>
      <c r="I15" s="5">
        <f t="shared" si="0"/>
        <v>8.8999999999999999E-3</v>
      </c>
      <c r="J15" s="6">
        <f t="shared" si="1"/>
        <v>-2.4709506479798689E-2</v>
      </c>
      <c r="K15" s="7">
        <f t="shared" si="2"/>
        <v>-1.6029421087468965E-2</v>
      </c>
    </row>
    <row r="16" spans="1:14" x14ac:dyDescent="0.25">
      <c r="A16">
        <v>20223</v>
      </c>
      <c r="B16" s="5">
        <v>8.5000000000000006E-3</v>
      </c>
      <c r="C16" s="6">
        <v>-2.3E-3</v>
      </c>
      <c r="D16" s="7">
        <v>6.1999999999999998E-3</v>
      </c>
      <c r="I16" s="5">
        <f t="shared" si="0"/>
        <v>8.5000000000000006E-3</v>
      </c>
      <c r="J16" s="6">
        <f t="shared" si="1"/>
        <v>-5.2044396608471617E-3</v>
      </c>
      <c r="K16" s="7">
        <f t="shared" si="2"/>
        <v>3.2513226020356445E-3</v>
      </c>
    </row>
    <row r="17" spans="1:11" x14ac:dyDescent="0.25">
      <c r="A17">
        <v>20222</v>
      </c>
      <c r="B17" s="5">
        <v>8.8000000000000005E-3</v>
      </c>
      <c r="C17" s="6">
        <v>3.7000000000000002E-3</v>
      </c>
      <c r="D17" s="7">
        <v>1.2500000000000001E-2</v>
      </c>
      <c r="I17" s="5">
        <f t="shared" si="0"/>
        <v>8.8000000000000005E-3</v>
      </c>
      <c r="J17" s="6">
        <f t="shared" si="1"/>
        <v>4.6197392259349343E-3</v>
      </c>
      <c r="K17" s="7">
        <f t="shared" si="2"/>
        <v>1.3460392931123E-2</v>
      </c>
    </row>
    <row r="18" spans="1:11" x14ac:dyDescent="0.25">
      <c r="A18">
        <v>20221</v>
      </c>
      <c r="B18" s="5">
        <v>8.8999999999999999E-3</v>
      </c>
      <c r="C18" s="6">
        <v>1.8E-3</v>
      </c>
      <c r="D18" s="7">
        <v>1.0699999999999999E-2</v>
      </c>
      <c r="I18" s="5">
        <f t="shared" si="0"/>
        <v>8.8999999999999999E-3</v>
      </c>
      <c r="J18" s="6">
        <f t="shared" si="1"/>
        <v>1.6547780169576419E-3</v>
      </c>
      <c r="K18" s="7">
        <f t="shared" si="2"/>
        <v>1.0569505541308422E-2</v>
      </c>
    </row>
    <row r="19" spans="1:11" x14ac:dyDescent="0.25">
      <c r="A19">
        <v>20214</v>
      </c>
      <c r="B19" s="5">
        <v>8.2000000000000007E-3</v>
      </c>
      <c r="C19" s="6">
        <v>2.0999999999999999E-3</v>
      </c>
      <c r="D19" s="7">
        <v>1.03E-2</v>
      </c>
      <c r="I19" s="5">
        <f t="shared" si="0"/>
        <v>8.2000000000000007E-3</v>
      </c>
      <c r="J19" s="6">
        <f t="shared" si="1"/>
        <v>-2.9922417954585633E-5</v>
      </c>
      <c r="K19" s="7">
        <f t="shared" si="2"/>
        <v>8.1698322182182093E-3</v>
      </c>
    </row>
    <row r="20" spans="1:11" x14ac:dyDescent="0.25">
      <c r="A20">
        <v>20213</v>
      </c>
      <c r="B20" s="5">
        <v>7.4999999999999997E-3</v>
      </c>
      <c r="C20" s="6">
        <v>6.4999999999999997E-3</v>
      </c>
      <c r="D20" s="7">
        <v>1.41E-2</v>
      </c>
      <c r="I20" s="5">
        <f t="shared" si="0"/>
        <v>7.4999999999999997E-3</v>
      </c>
      <c r="J20" s="6">
        <f t="shared" si="1"/>
        <v>9.6948836269318776E-3</v>
      </c>
      <c r="K20" s="7">
        <f t="shared" si="2"/>
        <v>1.7267595254133905E-2</v>
      </c>
    </row>
    <row r="21" spans="1:11" x14ac:dyDescent="0.25">
      <c r="A21">
        <v>20212</v>
      </c>
      <c r="B21" s="5">
        <v>7.9000000000000008E-3</v>
      </c>
      <c r="C21" s="6">
        <v>-1E-4</v>
      </c>
      <c r="D21" s="7">
        <v>7.7999999999999996E-3</v>
      </c>
      <c r="I21" s="5">
        <f t="shared" si="0"/>
        <v>7.9000000000000008E-3</v>
      </c>
      <c r="J21" s="6">
        <f t="shared" si="1"/>
        <v>7.2292457057336254E-4</v>
      </c>
      <c r="K21" s="7">
        <f t="shared" si="2"/>
        <v>8.6286356746809734E-3</v>
      </c>
    </row>
    <row r="22" spans="1:11" x14ac:dyDescent="0.25">
      <c r="A22">
        <v>20211</v>
      </c>
      <c r="B22" s="5">
        <v>8.0000000000000002E-3</v>
      </c>
      <c r="C22" s="6">
        <v>-1.8E-3</v>
      </c>
      <c r="D22" s="7">
        <v>6.1999999999999998E-3</v>
      </c>
      <c r="I22" s="5">
        <f t="shared" si="0"/>
        <v>8.0000000000000002E-3</v>
      </c>
      <c r="J22" s="6">
        <f t="shared" si="1"/>
        <v>-1.7031853446384277E-3</v>
      </c>
      <c r="K22" s="7">
        <f t="shared" si="2"/>
        <v>6.2831891726045086E-3</v>
      </c>
    </row>
    <row r="23" spans="1:11" x14ac:dyDescent="0.25">
      <c r="A23">
        <v>20204</v>
      </c>
      <c r="B23" s="5">
        <v>9.1999999999999998E-3</v>
      </c>
      <c r="C23" s="6">
        <v>-2E-3</v>
      </c>
      <c r="D23" s="7">
        <v>7.1999999999999998E-3</v>
      </c>
      <c r="I23" s="5">
        <f t="shared" si="0"/>
        <v>9.1999999999999998E-3</v>
      </c>
      <c r="J23" s="6">
        <f t="shared" si="1"/>
        <v>6.1399569476244613E-4</v>
      </c>
      <c r="K23" s="7">
        <f t="shared" si="2"/>
        <v>9.8196444551543749E-3</v>
      </c>
    </row>
    <row r="24" spans="1:11" x14ac:dyDescent="0.25">
      <c r="A24">
        <v>20203</v>
      </c>
      <c r="B24" s="5">
        <v>9.4000000000000004E-3</v>
      </c>
      <c r="C24" s="6">
        <v>-7.4000000000000003E-3</v>
      </c>
      <c r="D24" s="7">
        <v>2E-3</v>
      </c>
      <c r="I24" s="5">
        <f t="shared" si="0"/>
        <v>9.4000000000000004E-3</v>
      </c>
      <c r="J24" s="6">
        <f t="shared" si="1"/>
        <v>9.2606036109519816E-4</v>
      </c>
      <c r="K24" s="7">
        <f t="shared" si="2"/>
        <v>1.0334765328489537E-2</v>
      </c>
    </row>
    <row r="25" spans="1:11" x14ac:dyDescent="0.25">
      <c r="A25">
        <v>20202</v>
      </c>
      <c r="B25" s="5">
        <v>1.03E-2</v>
      </c>
      <c r="C25" s="6">
        <v>-2.46E-2</v>
      </c>
      <c r="D25" s="7">
        <v>-1.43E-2</v>
      </c>
      <c r="I25" s="5">
        <f t="shared" si="0"/>
        <v>1.03E-2</v>
      </c>
      <c r="J25" s="6">
        <f t="shared" si="1"/>
        <v>-3.5540056055857645E-2</v>
      </c>
      <c r="K25" s="7">
        <f t="shared" si="2"/>
        <v>-2.5606118633233033E-2</v>
      </c>
    </row>
    <row r="26" spans="1:11" x14ac:dyDescent="0.25">
      <c r="A26">
        <v>20201</v>
      </c>
      <c r="B26" s="5">
        <v>1.3299999999999999E-2</v>
      </c>
      <c r="C26" s="6">
        <v>-2E-3</v>
      </c>
      <c r="D26" s="7">
        <v>1.1299999999999999E-2</v>
      </c>
      <c r="I26" s="5">
        <f t="shared" si="0"/>
        <v>1.3299999999999999E-2</v>
      </c>
      <c r="J26" s="6">
        <f t="shared" si="1"/>
        <v>-1.9031853446384278E-3</v>
      </c>
      <c r="K26" s="7">
        <f t="shared" si="2"/>
        <v>1.1371502290278057E-2</v>
      </c>
    </row>
    <row r="27" spans="1:11" x14ac:dyDescent="0.25">
      <c r="A27">
        <v>20194</v>
      </c>
      <c r="B27" s="5">
        <v>1.23E-2</v>
      </c>
      <c r="C27" s="6">
        <v>-2.2000000000000001E-3</v>
      </c>
      <c r="D27" s="7">
        <v>1.01E-2</v>
      </c>
      <c r="I27" s="5">
        <f t="shared" si="0"/>
        <v>1.23E-2</v>
      </c>
      <c r="J27" s="6">
        <f t="shared" si="1"/>
        <v>-8.0572866493751113E-3</v>
      </c>
      <c r="K27" s="7">
        <f t="shared" si="2"/>
        <v>4.1436087248376552E-3</v>
      </c>
    </row>
    <row r="28" spans="1:11" x14ac:dyDescent="0.25">
      <c r="A28">
        <v>20193</v>
      </c>
      <c r="B28" s="5">
        <v>1.2999999999999999E-2</v>
      </c>
      <c r="C28" s="6">
        <v>9.9000000000000008E-3</v>
      </c>
      <c r="D28" s="7">
        <v>2.29E-2</v>
      </c>
      <c r="I28" s="5">
        <f t="shared" si="0"/>
        <v>1.2999999999999999E-2</v>
      </c>
      <c r="J28" s="6">
        <f t="shared" si="1"/>
        <v>1.3724178886782097E-2</v>
      </c>
      <c r="K28" s="7">
        <f t="shared" si="2"/>
        <v>2.6902593212310144E-2</v>
      </c>
    </row>
    <row r="29" spans="1:11" x14ac:dyDescent="0.25">
      <c r="A29">
        <v>20192</v>
      </c>
      <c r="B29" s="5">
        <v>1.2699999999999999E-2</v>
      </c>
      <c r="C29" s="6">
        <v>2E-3</v>
      </c>
      <c r="D29" s="7">
        <v>1.47E-2</v>
      </c>
      <c r="I29" s="5">
        <f t="shared" si="0"/>
        <v>1.2699999999999999E-2</v>
      </c>
      <c r="J29" s="6">
        <f t="shared" si="1"/>
        <v>3.7426637965082971E-3</v>
      </c>
      <c r="K29" s="7">
        <f t="shared" si="2"/>
        <v>1.6490195626723825E-2</v>
      </c>
    </row>
    <row r="30" spans="1:11" x14ac:dyDescent="0.25">
      <c r="A30">
        <v>20191</v>
      </c>
      <c r="B30" s="5">
        <v>1.32E-2</v>
      </c>
      <c r="C30" s="6">
        <v>-1.6000000000000001E-3</v>
      </c>
      <c r="D30" s="7">
        <v>1.1599999999999999E-2</v>
      </c>
      <c r="I30" s="5">
        <f t="shared" si="0"/>
        <v>1.32E-2</v>
      </c>
      <c r="J30" s="6">
        <f t="shared" si="1"/>
        <v>-8.1833965645869006E-3</v>
      </c>
      <c r="K30" s="7">
        <f t="shared" si="2"/>
        <v>4.9085826007606581E-3</v>
      </c>
    </row>
    <row r="31" spans="1:11" x14ac:dyDescent="0.25">
      <c r="A31">
        <v>20184</v>
      </c>
      <c r="B31" s="5">
        <v>1.41E-2</v>
      </c>
      <c r="C31" s="6">
        <v>1.2E-2</v>
      </c>
      <c r="D31" s="7">
        <v>2.6200000000000001E-2</v>
      </c>
      <c r="I31" s="5">
        <f t="shared" si="0"/>
        <v>1.41E-2</v>
      </c>
      <c r="J31" s="6">
        <f t="shared" si="1"/>
        <v>1.3064961208977292E-2</v>
      </c>
      <c r="K31" s="7">
        <f t="shared" si="2"/>
        <v>2.7349177162023786E-2</v>
      </c>
    </row>
    <row r="32" spans="1:11" x14ac:dyDescent="0.25">
      <c r="A32">
        <v>20183</v>
      </c>
      <c r="B32" s="5">
        <v>1.3299999999999999E-2</v>
      </c>
      <c r="C32" s="6">
        <v>9.7999999999999997E-3</v>
      </c>
      <c r="D32" s="7">
        <v>2.3099999999999999E-2</v>
      </c>
      <c r="I32" s="5">
        <f t="shared" si="0"/>
        <v>1.3299999999999999E-2</v>
      </c>
      <c r="J32" s="6">
        <f t="shared" si="1"/>
        <v>1.1736293107231441E-2</v>
      </c>
      <c r="K32" s="7">
        <f t="shared" si="2"/>
        <v>2.5192385805557604E-2</v>
      </c>
    </row>
    <row r="33" spans="1:11" x14ac:dyDescent="0.25">
      <c r="A33">
        <v>20182</v>
      </c>
      <c r="B33" s="5">
        <v>1.38E-2</v>
      </c>
      <c r="C33" s="6">
        <v>5.7999999999999996E-3</v>
      </c>
      <c r="D33" s="7">
        <v>1.95E-2</v>
      </c>
      <c r="I33" s="5">
        <f t="shared" si="0"/>
        <v>1.38E-2</v>
      </c>
      <c r="J33" s="6">
        <f t="shared" si="1"/>
        <v>4.7350387910227061E-3</v>
      </c>
      <c r="K33" s="7">
        <f t="shared" si="2"/>
        <v>1.8600382326338982E-2</v>
      </c>
    </row>
    <row r="34" spans="1:11" x14ac:dyDescent="0.25">
      <c r="A34">
        <v>20181</v>
      </c>
      <c r="B34" s="5">
        <v>1.38E-2</v>
      </c>
      <c r="C34" s="6">
        <v>8.0000000000000002E-3</v>
      </c>
      <c r="D34" s="7">
        <v>2.18E-2</v>
      </c>
      <c r="I34" s="5">
        <f t="shared" si="0"/>
        <v>1.38E-2</v>
      </c>
      <c r="J34" s="6">
        <f t="shared" si="1"/>
        <v>-1.5846508807956349E-3</v>
      </c>
      <c r="K34" s="7">
        <f t="shared" si="2"/>
        <v>1.2193480937049417E-2</v>
      </c>
    </row>
    <row r="35" spans="1:11" x14ac:dyDescent="0.25">
      <c r="A35">
        <v>20174</v>
      </c>
      <c r="B35" s="5">
        <v>1.34E-2</v>
      </c>
      <c r="C35" s="6">
        <v>2.7799999999999998E-2</v>
      </c>
      <c r="D35" s="7">
        <v>4.1200000000000001E-2</v>
      </c>
      <c r="I35" s="5">
        <f t="shared" si="0"/>
        <v>1.34E-2</v>
      </c>
      <c r="J35" s="6">
        <f t="shared" si="1"/>
        <v>3.6077653033414411E-2</v>
      </c>
      <c r="K35" s="7">
        <f t="shared" si="2"/>
        <v>4.9961093584062199E-2</v>
      </c>
    </row>
    <row r="36" spans="1:11" x14ac:dyDescent="0.25">
      <c r="A36">
        <v>20173</v>
      </c>
      <c r="B36" s="5">
        <v>1.37E-2</v>
      </c>
      <c r="C36" s="6">
        <v>1.0699999999999999E-2</v>
      </c>
      <c r="D36" s="7">
        <v>2.4400000000000002E-2</v>
      </c>
      <c r="I36" s="5">
        <f t="shared" si="0"/>
        <v>1.37E-2</v>
      </c>
      <c r="J36" s="6">
        <f t="shared" si="1"/>
        <v>8.9089288758109151E-3</v>
      </c>
      <c r="K36" s="7">
        <f t="shared" si="2"/>
        <v>2.2730981201409595E-2</v>
      </c>
    </row>
    <row r="37" spans="1:11" x14ac:dyDescent="0.25">
      <c r="A37">
        <v>20172</v>
      </c>
      <c r="B37" s="5">
        <v>1.4500000000000001E-2</v>
      </c>
      <c r="C37" s="6">
        <v>1.44E-2</v>
      </c>
      <c r="D37" s="7">
        <v>2.8899999999999999E-2</v>
      </c>
      <c r="I37" s="5">
        <f t="shared" si="0"/>
        <v>1.4500000000000001E-2</v>
      </c>
      <c r="J37" s="6">
        <f t="shared" si="1"/>
        <v>1.8175771559101311E-2</v>
      </c>
      <c r="K37" s="7">
        <f t="shared" si="2"/>
        <v>3.2939320246708315E-2</v>
      </c>
    </row>
    <row r="38" spans="1:11" x14ac:dyDescent="0.25">
      <c r="A38">
        <v>20171</v>
      </c>
      <c r="B38" s="5">
        <v>1.6400000000000001E-2</v>
      </c>
      <c r="C38" s="6">
        <v>6.6E-3</v>
      </c>
      <c r="D38" s="7">
        <v>2.29E-2</v>
      </c>
      <c r="I38" s="5">
        <f t="shared" si="0"/>
        <v>1.6400000000000001E-2</v>
      </c>
      <c r="J38" s="6">
        <f t="shared" si="1"/>
        <v>-5.6428449675633417E-4</v>
      </c>
      <c r="K38" s="7">
        <f t="shared" si="2"/>
        <v>1.5826461237496758E-2</v>
      </c>
    </row>
    <row r="39" spans="1:11" x14ac:dyDescent="0.25">
      <c r="A39">
        <v>20164</v>
      </c>
      <c r="B39" s="5">
        <v>1.3899999999999999E-2</v>
      </c>
      <c r="C39" s="6">
        <v>2.1399999999999999E-2</v>
      </c>
      <c r="D39" s="7">
        <v>3.5299999999999998E-2</v>
      </c>
      <c r="I39" s="5">
        <f t="shared" ref="I39:I70" si="3">+B39</f>
        <v>1.3899999999999999E-2</v>
      </c>
      <c r="J39" s="6">
        <f t="shared" ref="J39:J70" si="4">(C39-($C$2*C40))/(1-$C$2)</f>
        <v>2.7499323287779036E-2</v>
      </c>
      <c r="K39" s="7">
        <f t="shared" ref="K39:K70" si="5">(1+I39)*(1+J39)-1</f>
        <v>4.1781563881479133E-2</v>
      </c>
    </row>
    <row r="40" spans="1:11" x14ac:dyDescent="0.25">
      <c r="A40">
        <v>20163</v>
      </c>
      <c r="B40" s="5">
        <v>1.4200000000000001E-2</v>
      </c>
      <c r="C40" s="6">
        <v>8.8000000000000005E-3</v>
      </c>
      <c r="D40" s="7">
        <v>2.3E-2</v>
      </c>
      <c r="I40" s="5">
        <f t="shared" si="3"/>
        <v>1.4200000000000001E-2</v>
      </c>
      <c r="J40" s="6">
        <f t="shared" si="4"/>
        <v>4.1044892149637554E-3</v>
      </c>
      <c r="K40" s="7">
        <f t="shared" si="5"/>
        <v>1.836277296181632E-2</v>
      </c>
    </row>
    <row r="41" spans="1:11" x14ac:dyDescent="0.25">
      <c r="A41">
        <v>20162</v>
      </c>
      <c r="B41" s="5">
        <v>1.4E-2</v>
      </c>
      <c r="C41" s="6">
        <v>1.8499999999999999E-2</v>
      </c>
      <c r="D41" s="7">
        <v>3.2500000000000001E-2</v>
      </c>
      <c r="I41" s="5">
        <f t="shared" si="3"/>
        <v>1.4E-2</v>
      </c>
      <c r="J41" s="6">
        <f t="shared" si="4"/>
        <v>1.8015926723192136E-2</v>
      </c>
      <c r="K41" s="7">
        <f t="shared" si="5"/>
        <v>3.2268149697316728E-2</v>
      </c>
    </row>
    <row r="42" spans="1:11" x14ac:dyDescent="0.25">
      <c r="A42">
        <v>20161</v>
      </c>
      <c r="B42" s="5">
        <v>1.43E-2</v>
      </c>
      <c r="C42" s="6">
        <v>1.95E-2</v>
      </c>
      <c r="D42" s="7">
        <v>3.39E-2</v>
      </c>
      <c r="I42" s="5">
        <f t="shared" si="3"/>
        <v>1.43E-2</v>
      </c>
      <c r="J42" s="6">
        <f t="shared" si="4"/>
        <v>1.7612114220449341E-2</v>
      </c>
      <c r="K42" s="7">
        <f t="shared" si="5"/>
        <v>3.2163967453801678E-2</v>
      </c>
    </row>
    <row r="43" spans="1:11" x14ac:dyDescent="0.25">
      <c r="A43">
        <v>20154</v>
      </c>
      <c r="B43" s="5">
        <v>1.34E-2</v>
      </c>
      <c r="C43" s="6">
        <v>2.3400000000000001E-2</v>
      </c>
      <c r="D43" s="7">
        <v>3.6799999999999999E-2</v>
      </c>
      <c r="I43" s="5">
        <f t="shared" si="3"/>
        <v>1.34E-2</v>
      </c>
      <c r="J43" s="6">
        <f t="shared" si="4"/>
        <v>2.4949034485785154E-2</v>
      </c>
      <c r="K43" s="7">
        <f t="shared" si="5"/>
        <v>3.8683351547894818E-2</v>
      </c>
    </row>
    <row r="44" spans="1:11" x14ac:dyDescent="0.25">
      <c r="A44">
        <v>20153</v>
      </c>
      <c r="B44" s="5">
        <v>1.38E-2</v>
      </c>
      <c r="C44" s="6">
        <v>2.0199999999999999E-2</v>
      </c>
      <c r="D44" s="7">
        <v>3.4000000000000002E-2</v>
      </c>
      <c r="I44" s="5">
        <f t="shared" si="3"/>
        <v>1.38E-2</v>
      </c>
      <c r="J44" s="6">
        <f t="shared" si="4"/>
        <v>2.4411437508228384E-2</v>
      </c>
      <c r="K44" s="7">
        <f t="shared" si="5"/>
        <v>3.8548315345842132E-2</v>
      </c>
    </row>
    <row r="45" spans="1:11" x14ac:dyDescent="0.25">
      <c r="A45">
        <v>20152</v>
      </c>
      <c r="B45" s="5">
        <v>1.44E-2</v>
      </c>
      <c r="C45" s="6">
        <v>1.15E-2</v>
      </c>
      <c r="D45" s="7">
        <v>2.5999999999999999E-2</v>
      </c>
      <c r="I45" s="5">
        <f t="shared" si="3"/>
        <v>1.44E-2</v>
      </c>
      <c r="J45" s="6">
        <f t="shared" si="4"/>
        <v>2.1573857576082933E-3</v>
      </c>
      <c r="K45" s="7">
        <f t="shared" si="5"/>
        <v>1.6588452112517693E-2</v>
      </c>
    </row>
    <row r="46" spans="1:11" x14ac:dyDescent="0.25">
      <c r="A46">
        <v>20151</v>
      </c>
      <c r="B46" s="5">
        <v>1.49E-2</v>
      </c>
      <c r="C46" s="6">
        <v>3.0800000000000001E-2</v>
      </c>
      <c r="D46" s="7">
        <v>4.5699999999999998E-2</v>
      </c>
      <c r="I46" s="5">
        <f t="shared" si="3"/>
        <v>1.49E-2</v>
      </c>
      <c r="J46" s="6">
        <f t="shared" si="4"/>
        <v>3.6124806044886465E-2</v>
      </c>
      <c r="K46" s="7">
        <f t="shared" si="5"/>
        <v>5.1563065654955054E-2</v>
      </c>
    </row>
    <row r="47" spans="1:11" x14ac:dyDescent="0.25">
      <c r="A47">
        <v>20144</v>
      </c>
      <c r="B47" s="5">
        <v>1.6500000000000001E-2</v>
      </c>
      <c r="C47" s="6">
        <v>1.9800000000000002E-2</v>
      </c>
      <c r="D47" s="7">
        <v>3.6299999999999999E-2</v>
      </c>
      <c r="I47" s="5">
        <f t="shared" si="3"/>
        <v>1.6500000000000001E-2</v>
      </c>
      <c r="J47" s="6">
        <f t="shared" si="4"/>
        <v>2.0526109915211792E-2</v>
      </c>
      <c r="K47" s="7">
        <f t="shared" si="5"/>
        <v>3.7364790728812824E-2</v>
      </c>
    </row>
    <row r="48" spans="1:11" x14ac:dyDescent="0.25">
      <c r="A48">
        <v>20143</v>
      </c>
      <c r="B48" s="5">
        <v>1.6E-2</v>
      </c>
      <c r="C48" s="6">
        <v>1.83E-2</v>
      </c>
      <c r="D48" s="7">
        <v>3.4299999999999997E-2</v>
      </c>
      <c r="I48" s="5">
        <f t="shared" si="3"/>
        <v>1.6E-2</v>
      </c>
      <c r="J48" s="6">
        <f t="shared" si="4"/>
        <v>1.3798118525686897E-2</v>
      </c>
      <c r="K48" s="7">
        <f t="shared" si="5"/>
        <v>3.0018888422097767E-2</v>
      </c>
    </row>
    <row r="49" spans="1:11" x14ac:dyDescent="0.25">
      <c r="A49">
        <v>20142</v>
      </c>
      <c r="B49" s="5">
        <v>1.6400000000000001E-2</v>
      </c>
      <c r="C49" s="6">
        <v>2.76E-2</v>
      </c>
      <c r="D49" s="7">
        <v>4.3999999999999997E-2</v>
      </c>
      <c r="I49" s="5">
        <f t="shared" si="3"/>
        <v>1.6400000000000001E-2</v>
      </c>
      <c r="J49" s="6">
        <f t="shared" si="4"/>
        <v>1.9903234898755017E-2</v>
      </c>
      <c r="K49" s="7">
        <f t="shared" si="5"/>
        <v>3.6629647951094579E-2</v>
      </c>
    </row>
    <row r="50" spans="1:11" x14ac:dyDescent="0.25">
      <c r="A50">
        <v>20141</v>
      </c>
      <c r="B50" s="5">
        <v>1.5900000000000001E-2</v>
      </c>
      <c r="C50" s="6">
        <v>4.3499999999999997E-2</v>
      </c>
      <c r="D50" s="7">
        <v>5.9400000000000001E-2</v>
      </c>
      <c r="I50" s="5">
        <f t="shared" si="3"/>
        <v>1.5900000000000001E-2</v>
      </c>
      <c r="J50" s="6">
        <f t="shared" si="4"/>
        <v>4.9260471994013524E-2</v>
      </c>
      <c r="K50" s="7">
        <f t="shared" si="5"/>
        <v>6.5943713498718415E-2</v>
      </c>
    </row>
    <row r="51" spans="1:11" x14ac:dyDescent="0.25">
      <c r="A51">
        <v>20134</v>
      </c>
      <c r="B51" s="5">
        <v>1.67E-2</v>
      </c>
      <c r="C51" s="6">
        <v>3.1600000000000003E-2</v>
      </c>
      <c r="D51" s="7">
        <v>4.8300000000000003E-2</v>
      </c>
      <c r="I51" s="5">
        <f t="shared" si="3"/>
        <v>1.67E-2</v>
      </c>
      <c r="J51" s="6">
        <f t="shared" si="4"/>
        <v>3.8667469841394769E-2</v>
      </c>
      <c r="K51" s="7">
        <f t="shared" si="5"/>
        <v>5.6013216587745829E-2</v>
      </c>
    </row>
    <row r="52" spans="1:11" x14ac:dyDescent="0.25">
      <c r="A52">
        <v>20133</v>
      </c>
      <c r="B52" s="5">
        <v>1.67E-2</v>
      </c>
      <c r="C52" s="6">
        <v>1.7000000000000001E-2</v>
      </c>
      <c r="D52" s="7">
        <v>3.3700000000000001E-2</v>
      </c>
      <c r="I52" s="5">
        <f t="shared" si="3"/>
        <v>1.67E-2</v>
      </c>
      <c r="J52" s="6">
        <f t="shared" si="4"/>
        <v>2.4938801739648912E-2</v>
      </c>
      <c r="K52" s="7">
        <f t="shared" si="5"/>
        <v>4.2055279728701045E-2</v>
      </c>
    </row>
    <row r="53" spans="1:11" x14ac:dyDescent="0.25">
      <c r="A53">
        <v>20132</v>
      </c>
      <c r="B53" s="5">
        <v>1.6299999999999999E-2</v>
      </c>
      <c r="C53" s="6">
        <v>5.9999999999999995E-4</v>
      </c>
      <c r="D53" s="7">
        <v>1.6899999999999998E-2</v>
      </c>
      <c r="I53" s="5">
        <f t="shared" si="3"/>
        <v>1.6299999999999999E-2</v>
      </c>
      <c r="J53" s="6">
        <f t="shared" si="4"/>
        <v>-1.0775722004984719E-2</v>
      </c>
      <c r="K53" s="7">
        <f t="shared" si="5"/>
        <v>5.3486337263339845E-3</v>
      </c>
    </row>
    <row r="54" spans="1:11" x14ac:dyDescent="0.25">
      <c r="A54">
        <v>20131</v>
      </c>
      <c r="B54" s="5">
        <v>1.67E-2</v>
      </c>
      <c r="C54" s="6">
        <v>2.41E-2</v>
      </c>
      <c r="D54" s="7">
        <v>4.07E-2</v>
      </c>
      <c r="I54" s="5">
        <f t="shared" si="3"/>
        <v>1.67E-2</v>
      </c>
      <c r="J54" s="6">
        <f t="shared" si="4"/>
        <v>3.0683396564586896E-2</v>
      </c>
      <c r="K54" s="7">
        <f t="shared" si="5"/>
        <v>4.7895809287215485E-2</v>
      </c>
    </row>
    <row r="55" spans="1:11" x14ac:dyDescent="0.25">
      <c r="A55">
        <v>20124</v>
      </c>
      <c r="B55" s="5">
        <v>1.3899999999999999E-2</v>
      </c>
      <c r="C55" s="6">
        <v>1.0500000000000001E-2</v>
      </c>
      <c r="D55" s="7">
        <v>2.4400000000000002E-2</v>
      </c>
      <c r="I55" s="5">
        <f t="shared" si="3"/>
        <v>1.3899999999999999E-2</v>
      </c>
      <c r="J55" s="6">
        <f t="shared" si="4"/>
        <v>5.7649782543886367E-4</v>
      </c>
      <c r="K55" s="7">
        <f t="shared" si="5"/>
        <v>1.448451114521232E-2</v>
      </c>
    </row>
    <row r="56" spans="1:11" x14ac:dyDescent="0.25">
      <c r="A56">
        <v>20123</v>
      </c>
      <c r="B56" s="5">
        <v>1.77E-2</v>
      </c>
      <c r="C56" s="6">
        <v>3.1E-2</v>
      </c>
      <c r="D56" s="7">
        <v>4.87E-2</v>
      </c>
      <c r="I56" s="5">
        <f t="shared" si="3"/>
        <v>1.77E-2</v>
      </c>
      <c r="J56" s="6">
        <f t="shared" si="4"/>
        <v>6.6773015156100887E-2</v>
      </c>
      <c r="K56" s="7">
        <f t="shared" si="5"/>
        <v>8.5654897524363838E-2</v>
      </c>
    </row>
    <row r="57" spans="1:11" x14ac:dyDescent="0.25">
      <c r="A57">
        <v>20122</v>
      </c>
      <c r="B57" s="5">
        <v>1.6899999999999998E-2</v>
      </c>
      <c r="C57" s="6">
        <v>-4.2900000000000001E-2</v>
      </c>
      <c r="D57" s="7">
        <v>-2.5999999999999999E-2</v>
      </c>
      <c r="I57" s="5">
        <f t="shared" si="3"/>
        <v>1.6899999999999998E-2</v>
      </c>
      <c r="J57" s="6">
        <f t="shared" si="4"/>
        <v>-7.857620050073931E-2</v>
      </c>
      <c r="K57" s="7">
        <f t="shared" si="5"/>
        <v>-6.3004138289201927E-2</v>
      </c>
    </row>
    <row r="58" spans="1:11" x14ac:dyDescent="0.25">
      <c r="A58">
        <v>20121</v>
      </c>
      <c r="B58" s="5">
        <v>1.8800000000000001E-2</v>
      </c>
      <c r="C58" s="6">
        <v>3.0800000000000001E-2</v>
      </c>
      <c r="D58" s="7">
        <v>4.9599999999999998E-2</v>
      </c>
      <c r="I58" s="5">
        <f t="shared" si="3"/>
        <v>1.8800000000000001E-2</v>
      </c>
      <c r="J58" s="6">
        <f t="shared" si="4"/>
        <v>3.0364334050872924E-2</v>
      </c>
      <c r="K58" s="7">
        <f t="shared" si="5"/>
        <v>4.9735183531029348E-2</v>
      </c>
    </row>
    <row r="59" spans="1:11" x14ac:dyDescent="0.25">
      <c r="A59">
        <v>20114</v>
      </c>
      <c r="B59" s="5">
        <v>1.8599999999999998E-2</v>
      </c>
      <c r="C59" s="6">
        <v>3.1699999999999999E-2</v>
      </c>
      <c r="D59" s="7">
        <v>5.0299999999999997E-2</v>
      </c>
      <c r="I59" s="5">
        <f t="shared" si="3"/>
        <v>1.8599999999999998E-2</v>
      </c>
      <c r="J59" s="6">
        <f t="shared" si="4"/>
        <v>5.5032331942138864E-2</v>
      </c>
      <c r="K59" s="7">
        <f t="shared" si="5"/>
        <v>7.4655933316262635E-2</v>
      </c>
    </row>
    <row r="60" spans="1:11" x14ac:dyDescent="0.25">
      <c r="A60">
        <v>20113</v>
      </c>
      <c r="B60" s="5">
        <v>1.6799999999999999E-2</v>
      </c>
      <c r="C60" s="6">
        <v>-1.6500000000000001E-2</v>
      </c>
      <c r="D60" s="7">
        <v>2.0000000000000001E-4</v>
      </c>
      <c r="I60" s="5">
        <f t="shared" si="3"/>
        <v>1.6799999999999999E-2</v>
      </c>
      <c r="J60" s="6">
        <f t="shared" si="4"/>
        <v>-2.4874467688775981E-2</v>
      </c>
      <c r="K60" s="7">
        <f t="shared" si="5"/>
        <v>-8.4923587459474481E-3</v>
      </c>
    </row>
    <row r="61" spans="1:11" x14ac:dyDescent="0.25">
      <c r="A61">
        <v>20112</v>
      </c>
      <c r="B61" s="5">
        <v>1.8499999999999999E-2</v>
      </c>
      <c r="C61" s="6">
        <v>8.0000000000000004E-4</v>
      </c>
      <c r="D61" s="7">
        <v>1.9199999999999998E-2</v>
      </c>
      <c r="I61" s="5">
        <f t="shared" si="3"/>
        <v>1.8499999999999999E-2</v>
      </c>
      <c r="J61" s="6">
        <f t="shared" si="4"/>
        <v>-8.7846508807956358E-3</v>
      </c>
      <c r="K61" s="7">
        <f t="shared" si="5"/>
        <v>9.5528330779095505E-3</v>
      </c>
    </row>
    <row r="62" spans="1:11" x14ac:dyDescent="0.25">
      <c r="A62">
        <v>20111</v>
      </c>
      <c r="B62" s="5">
        <v>1.8700000000000001E-2</v>
      </c>
      <c r="C62" s="6">
        <v>2.06E-2</v>
      </c>
      <c r="D62" s="7">
        <v>3.9300000000000002E-2</v>
      </c>
      <c r="I62" s="5">
        <f t="shared" si="3"/>
        <v>1.8700000000000001E-2</v>
      </c>
      <c r="J62" s="6">
        <f t="shared" si="4"/>
        <v>3.0765538812965069E-2</v>
      </c>
      <c r="K62" s="7">
        <f t="shared" si="5"/>
        <v>5.0040854388767375E-2</v>
      </c>
    </row>
    <row r="63" spans="1:11" x14ac:dyDescent="0.25">
      <c r="A63">
        <v>20104</v>
      </c>
      <c r="B63" s="5">
        <v>1.83E-2</v>
      </c>
      <c r="C63" s="6">
        <v>-4.0000000000000002E-4</v>
      </c>
      <c r="D63" s="7">
        <v>1.7899999999999999E-2</v>
      </c>
      <c r="I63" s="5">
        <f t="shared" si="3"/>
        <v>1.83E-2</v>
      </c>
      <c r="J63" s="6">
        <f t="shared" si="4"/>
        <v>-1.5796336159606985E-4</v>
      </c>
      <c r="K63" s="7">
        <f t="shared" si="5"/>
        <v>1.8139145908886656E-2</v>
      </c>
    </row>
    <row r="64" spans="1:11" x14ac:dyDescent="0.25">
      <c r="A64">
        <v>20103</v>
      </c>
      <c r="B64" s="5">
        <v>1.8499999999999999E-2</v>
      </c>
      <c r="C64" s="6">
        <v>-8.9999999999999998E-4</v>
      </c>
      <c r="D64" s="7">
        <v>1.7600000000000001E-2</v>
      </c>
      <c r="I64" s="5">
        <f t="shared" si="3"/>
        <v>1.8499999999999999E-2</v>
      </c>
      <c r="J64" s="6">
        <f t="shared" si="4"/>
        <v>-4.6433405087292561E-4</v>
      </c>
      <c r="K64" s="7">
        <f t="shared" si="5"/>
        <v>1.8027075769186052E-2</v>
      </c>
    </row>
    <row r="65" spans="1:11" x14ac:dyDescent="0.25">
      <c r="A65">
        <v>20102</v>
      </c>
      <c r="B65" s="5">
        <v>1.8599999999999998E-2</v>
      </c>
      <c r="C65" s="6">
        <v>-1.8E-3</v>
      </c>
      <c r="D65" s="7">
        <v>1.6799999999999999E-2</v>
      </c>
      <c r="I65" s="5">
        <f t="shared" si="3"/>
        <v>1.8599999999999998E-2</v>
      </c>
      <c r="J65" s="6">
        <f t="shared" si="4"/>
        <v>-2.1388512937655021E-3</v>
      </c>
      <c r="K65" s="7">
        <f t="shared" si="5"/>
        <v>1.6421366072170374E-2</v>
      </c>
    </row>
    <row r="66" spans="1:11" x14ac:dyDescent="0.25">
      <c r="A66">
        <v>20101</v>
      </c>
      <c r="B66" s="5">
        <v>1.77E-2</v>
      </c>
      <c r="C66" s="6">
        <v>-1.1000000000000001E-3</v>
      </c>
      <c r="D66" s="7">
        <v>1.66E-2</v>
      </c>
      <c r="I66" s="5">
        <f t="shared" si="3"/>
        <v>1.77E-2</v>
      </c>
      <c r="J66" s="6">
        <f t="shared" si="4"/>
        <v>2.4337349206973802E-3</v>
      </c>
      <c r="K66" s="7">
        <f t="shared" si="5"/>
        <v>2.0176812028793734E-2</v>
      </c>
    </row>
    <row r="67" spans="1:11" x14ac:dyDescent="0.25">
      <c r="A67">
        <v>20094</v>
      </c>
      <c r="B67" s="5">
        <v>1.7999999999999999E-2</v>
      </c>
      <c r="C67" s="6">
        <v>-8.3999999999999995E-3</v>
      </c>
      <c r="D67" s="7">
        <v>9.7000000000000003E-3</v>
      </c>
      <c r="I67" s="5">
        <f t="shared" si="3"/>
        <v>1.7999999999999999E-2</v>
      </c>
      <c r="J67" s="6">
        <f t="shared" si="4"/>
        <v>-4.479006457856329E-3</v>
      </c>
      <c r="K67" s="7">
        <f t="shared" si="5"/>
        <v>1.3440371425902153E-2</v>
      </c>
    </row>
    <row r="68" spans="1:11" x14ac:dyDescent="0.25">
      <c r="A68">
        <v>20093</v>
      </c>
      <c r="B68" s="5">
        <v>1.7600000000000001E-2</v>
      </c>
      <c r="C68" s="6">
        <v>-1.6500000000000001E-2</v>
      </c>
      <c r="D68" s="7">
        <v>1E-3</v>
      </c>
      <c r="I68" s="5">
        <f t="shared" si="3"/>
        <v>1.7600000000000001E-2</v>
      </c>
      <c r="J68" s="6">
        <f t="shared" si="4"/>
        <v>-1.6451592672319212E-2</v>
      </c>
      <c r="K68" s="7">
        <f t="shared" si="5"/>
        <v>8.5885929664808458E-4</v>
      </c>
    </row>
    <row r="69" spans="1:11" x14ac:dyDescent="0.25">
      <c r="A69">
        <v>20092</v>
      </c>
      <c r="B69" s="5">
        <v>1.7100000000000001E-2</v>
      </c>
      <c r="C69" s="6">
        <v>-1.66E-2</v>
      </c>
      <c r="D69" s="7">
        <v>5.0000000000000001E-4</v>
      </c>
      <c r="I69" s="5">
        <f t="shared" si="3"/>
        <v>1.7100000000000001E-2</v>
      </c>
      <c r="J69" s="6">
        <f t="shared" si="4"/>
        <v>-8.7096055880318754E-3</v>
      </c>
      <c r="K69" s="7">
        <f t="shared" si="5"/>
        <v>8.2414601564126944E-3</v>
      </c>
    </row>
    <row r="70" spans="1:11" x14ac:dyDescent="0.25">
      <c r="A70">
        <v>20091</v>
      </c>
      <c r="B70" s="5">
        <v>1.7000000000000001E-2</v>
      </c>
      <c r="C70" s="6">
        <v>-3.2899999999999999E-2</v>
      </c>
      <c r="D70" s="7">
        <v>-1.5900000000000001E-2</v>
      </c>
      <c r="I70" s="5">
        <f t="shared" si="3"/>
        <v>1.7000000000000001E-2</v>
      </c>
      <c r="J70" s="6">
        <f t="shared" si="4"/>
        <v>-1.9200726266337547E-2</v>
      </c>
      <c r="K70" s="7">
        <f t="shared" si="5"/>
        <v>-2.5271386128653539E-3</v>
      </c>
    </row>
    <row r="71" spans="1:11" x14ac:dyDescent="0.25">
      <c r="A71">
        <v>20084</v>
      </c>
      <c r="B71" s="5">
        <v>1.6E-2</v>
      </c>
      <c r="C71" s="6">
        <v>-6.1199999999999997E-2</v>
      </c>
      <c r="D71" s="7">
        <v>-4.5100000000000001E-2</v>
      </c>
      <c r="I71" s="5">
        <f t="shared" ref="I71:I92" si="6">+B71</f>
        <v>1.6E-2</v>
      </c>
      <c r="J71" s="6">
        <f t="shared" ref="J71:J92" si="7">(C71-($C$2*C72))/(1-$C$2)</f>
        <v>-8.9857137987025326E-2</v>
      </c>
      <c r="K71" s="7">
        <f t="shared" ref="K71:K92" si="8">(1+I71)*(1+J71)-1</f>
        <v>-7.5294852194817685E-2</v>
      </c>
    </row>
    <row r="72" spans="1:11" x14ac:dyDescent="0.25">
      <c r="A72">
        <v>20083</v>
      </c>
      <c r="B72" s="5">
        <v>1.6199999999999999E-2</v>
      </c>
      <c r="C72" s="6">
        <v>-2E-3</v>
      </c>
      <c r="D72" s="7">
        <v>1.4200000000000001E-2</v>
      </c>
      <c r="I72" s="5">
        <f t="shared" si="6"/>
        <v>1.6199999999999999E-2</v>
      </c>
      <c r="J72" s="6">
        <f t="shared" si="7"/>
        <v>-5.0012543162087338E-3</v>
      </c>
      <c r="K72" s="7">
        <f t="shared" si="8"/>
        <v>1.1117725363868791E-2</v>
      </c>
    </row>
    <row r="73" spans="1:11" x14ac:dyDescent="0.25">
      <c r="A73">
        <v>20082</v>
      </c>
      <c r="B73" s="5">
        <v>1.6899999999999998E-2</v>
      </c>
      <c r="C73" s="6">
        <v>4.1999999999999997E-3</v>
      </c>
      <c r="D73" s="7">
        <v>2.1100000000000001E-2</v>
      </c>
      <c r="I73" s="5">
        <f t="shared" si="6"/>
        <v>1.6899999999999998E-2</v>
      </c>
      <c r="J73" s="6">
        <f t="shared" si="7"/>
        <v>1.005728664937511E-2</v>
      </c>
      <c r="K73" s="7">
        <f t="shared" si="8"/>
        <v>2.7127254793749556E-2</v>
      </c>
    </row>
    <row r="74" spans="1:11" x14ac:dyDescent="0.25">
      <c r="A74">
        <v>20081</v>
      </c>
      <c r="B74" s="5">
        <v>1.7299999999999999E-2</v>
      </c>
      <c r="C74" s="6">
        <v>-7.9000000000000008E-3</v>
      </c>
      <c r="D74" s="7">
        <v>9.4000000000000004E-3</v>
      </c>
      <c r="I74" s="5">
        <f t="shared" si="6"/>
        <v>1.7299999999999999E-2</v>
      </c>
      <c r="J74" s="6">
        <f t="shared" si="7"/>
        <v>-1.6322875016456771E-2</v>
      </c>
      <c r="K74" s="7">
        <f t="shared" si="8"/>
        <v>6.9473924575857993E-4</v>
      </c>
    </row>
    <row r="75" spans="1:11" x14ac:dyDescent="0.25">
      <c r="A75">
        <v>20074</v>
      </c>
      <c r="B75" s="5">
        <v>1.7000000000000001E-2</v>
      </c>
      <c r="C75" s="6">
        <v>9.4999999999999998E-3</v>
      </c>
      <c r="D75" s="7">
        <v>2.6499999999999999E-2</v>
      </c>
      <c r="I75" s="5">
        <f t="shared" si="6"/>
        <v>1.7000000000000001E-2</v>
      </c>
      <c r="J75" s="6">
        <f t="shared" si="7"/>
        <v>-7.1521207221903983E-3</v>
      </c>
      <c r="K75" s="7">
        <f t="shared" si="8"/>
        <v>9.726293225532201E-3</v>
      </c>
    </row>
    <row r="76" spans="1:11" x14ac:dyDescent="0.25">
      <c r="A76">
        <v>20073</v>
      </c>
      <c r="B76" s="5">
        <v>1.7100000000000001E-2</v>
      </c>
      <c r="C76" s="6">
        <v>4.3900000000000002E-2</v>
      </c>
      <c r="D76" s="7">
        <v>6.0999999999999999E-2</v>
      </c>
      <c r="I76" s="5">
        <f t="shared" si="6"/>
        <v>1.7100000000000001E-2</v>
      </c>
      <c r="J76" s="6">
        <f t="shared" si="7"/>
        <v>4.5884700434912225E-2</v>
      </c>
      <c r="K76" s="7">
        <f t="shared" si="8"/>
        <v>6.3769328812349313E-2</v>
      </c>
    </row>
    <row r="77" spans="1:11" x14ac:dyDescent="0.25">
      <c r="A77">
        <v>20072</v>
      </c>
      <c r="B77" s="5">
        <v>1.72E-2</v>
      </c>
      <c r="C77" s="6">
        <v>3.9800000000000002E-2</v>
      </c>
      <c r="D77" s="7">
        <v>5.7099999999999998E-2</v>
      </c>
      <c r="I77" s="5">
        <f t="shared" si="6"/>
        <v>1.72E-2</v>
      </c>
      <c r="J77" s="6">
        <f t="shared" si="7"/>
        <v>5.2676349163089088E-2</v>
      </c>
      <c r="K77" s="7">
        <f t="shared" si="8"/>
        <v>7.0782382368694385E-2</v>
      </c>
    </row>
    <row r="78" spans="1:11" x14ac:dyDescent="0.25">
      <c r="A78">
        <v>20071</v>
      </c>
      <c r="B78" s="5">
        <v>1.61E-2</v>
      </c>
      <c r="C78" s="6">
        <v>1.32E-2</v>
      </c>
      <c r="D78" s="7">
        <v>2.9399999999999999E-2</v>
      </c>
      <c r="I78" s="5">
        <f t="shared" si="6"/>
        <v>1.61E-2</v>
      </c>
      <c r="J78" s="6">
        <f t="shared" si="7"/>
        <v>-2.2419375301707479E-3</v>
      </c>
      <c r="K78" s="7">
        <f t="shared" si="8"/>
        <v>1.3821967275593483E-2</v>
      </c>
    </row>
    <row r="79" spans="1:11" x14ac:dyDescent="0.25">
      <c r="A79">
        <v>20064</v>
      </c>
      <c r="B79" s="5">
        <v>1.7899999999999999E-2</v>
      </c>
      <c r="C79" s="6">
        <v>4.5100000000000001E-2</v>
      </c>
      <c r="D79" s="7">
        <v>6.3100000000000003E-2</v>
      </c>
      <c r="I79" s="5">
        <f t="shared" si="6"/>
        <v>1.7899999999999999E-2</v>
      </c>
      <c r="J79" s="6">
        <f t="shared" si="7"/>
        <v>5.7637497869323581E-2</v>
      </c>
      <c r="K79" s="7">
        <f t="shared" si="8"/>
        <v>7.6569209081184475E-2</v>
      </c>
    </row>
    <row r="80" spans="1:11" x14ac:dyDescent="0.25">
      <c r="A80">
        <v>20063</v>
      </c>
      <c r="B80" s="5">
        <v>1.7000000000000001E-2</v>
      </c>
      <c r="C80" s="6">
        <v>1.9199999999999998E-2</v>
      </c>
      <c r="D80" s="7">
        <v>3.6200000000000003E-2</v>
      </c>
      <c r="I80" s="5">
        <f t="shared" si="6"/>
        <v>1.7000000000000001E-2</v>
      </c>
      <c r="J80" s="6">
        <f t="shared" si="7"/>
        <v>1.2810232746136239E-2</v>
      </c>
      <c r="K80" s="7">
        <f t="shared" si="8"/>
        <v>3.0028006702820242E-2</v>
      </c>
    </row>
    <row r="81" spans="1:11" x14ac:dyDescent="0.25">
      <c r="A81">
        <v>20062</v>
      </c>
      <c r="B81" s="5">
        <v>1.7299999999999999E-2</v>
      </c>
      <c r="C81" s="6">
        <v>3.2399999999999998E-2</v>
      </c>
      <c r="D81" s="7">
        <v>4.9700000000000001E-2</v>
      </c>
      <c r="I81" s="5">
        <f t="shared" si="6"/>
        <v>1.7299999999999999E-2</v>
      </c>
      <c r="J81" s="6">
        <f t="shared" si="7"/>
        <v>3.2448407327680777E-2</v>
      </c>
      <c r="K81" s="7">
        <f t="shared" si="8"/>
        <v>5.0309764774449706E-2</v>
      </c>
    </row>
    <row r="82" spans="1:11" x14ac:dyDescent="0.25">
      <c r="A82">
        <v>20061</v>
      </c>
      <c r="B82" s="5">
        <v>2.0500000000000001E-2</v>
      </c>
      <c r="C82" s="6">
        <v>3.2300000000000002E-2</v>
      </c>
      <c r="D82" s="7">
        <v>5.28E-2</v>
      </c>
      <c r="I82" s="5">
        <f t="shared" si="6"/>
        <v>2.0500000000000001E-2</v>
      </c>
      <c r="J82" s="6">
        <f t="shared" si="7"/>
        <v>-2.8499603567067273E-2</v>
      </c>
      <c r="K82" s="7">
        <f t="shared" si="8"/>
        <v>-8.5838454401921949E-3</v>
      </c>
    </row>
    <row r="83" spans="1:11" x14ac:dyDescent="0.25">
      <c r="A83">
        <v>20054</v>
      </c>
      <c r="B83" s="5">
        <v>2.2200000000000001E-2</v>
      </c>
      <c r="C83" s="6">
        <v>0.15790000000000001</v>
      </c>
      <c r="D83" s="7">
        <v>0.18010000000000001</v>
      </c>
      <c r="I83" s="5">
        <f t="shared" si="6"/>
        <v>2.2200000000000001E-2</v>
      </c>
      <c r="J83" s="6">
        <f t="shared" si="7"/>
        <v>0.18234570047879697</v>
      </c>
      <c r="K83" s="7">
        <f t="shared" si="8"/>
        <v>0.20859377502942622</v>
      </c>
    </row>
    <row r="84" spans="1:11" x14ac:dyDescent="0.25">
      <c r="A84">
        <v>20053</v>
      </c>
      <c r="B84" s="5">
        <v>2.2800000000000001E-2</v>
      </c>
      <c r="C84" s="6">
        <v>0.1074</v>
      </c>
      <c r="D84" s="7">
        <v>0.13020000000000001</v>
      </c>
      <c r="I84" s="5">
        <f t="shared" si="6"/>
        <v>2.2800000000000001E-2</v>
      </c>
      <c r="J84" s="6">
        <f t="shared" si="7"/>
        <v>0.15914743329076025</v>
      </c>
      <c r="K84" s="7">
        <f t="shared" si="8"/>
        <v>0.18557599476978948</v>
      </c>
    </row>
    <row r="85" spans="1:11" x14ac:dyDescent="0.25">
      <c r="A85">
        <v>20052</v>
      </c>
      <c r="B85" s="5">
        <v>2.0799999999999999E-2</v>
      </c>
      <c r="C85" s="6">
        <v>5.0000000000000001E-4</v>
      </c>
      <c r="D85" s="7">
        <v>2.12E-2</v>
      </c>
      <c r="I85" s="5">
        <f t="shared" si="6"/>
        <v>2.0799999999999999E-2</v>
      </c>
      <c r="J85" s="6">
        <f t="shared" si="7"/>
        <v>-3.3046278082784722E-2</v>
      </c>
      <c r="K85" s="7">
        <f t="shared" si="8"/>
        <v>-1.2933640666906721E-2</v>
      </c>
    </row>
    <row r="86" spans="1:11" x14ac:dyDescent="0.25">
      <c r="A86">
        <v>20051</v>
      </c>
      <c r="B86" s="5">
        <v>2.3300000000000001E-2</v>
      </c>
      <c r="C86" s="6">
        <v>6.9800000000000001E-2</v>
      </c>
      <c r="D86" s="7">
        <v>9.3200000000000005E-2</v>
      </c>
      <c r="I86" s="5">
        <f t="shared" si="6"/>
        <v>2.3300000000000001E-2</v>
      </c>
      <c r="J86" s="6">
        <f t="shared" si="7"/>
        <v>7.6722247858352396E-2</v>
      </c>
      <c r="K86" s="7">
        <f t="shared" si="8"/>
        <v>0.10180987623345228</v>
      </c>
    </row>
    <row r="87" spans="1:11" x14ac:dyDescent="0.25">
      <c r="A87">
        <v>20044</v>
      </c>
      <c r="B87" s="5">
        <v>2.29E-2</v>
      </c>
      <c r="C87" s="6">
        <v>5.5500000000000001E-2</v>
      </c>
      <c r="D87" s="7">
        <v>7.8399999999999997E-2</v>
      </c>
      <c r="I87" s="5">
        <f t="shared" si="6"/>
        <v>2.29E-2</v>
      </c>
      <c r="J87" s="6">
        <f t="shared" si="7"/>
        <v>8.0429773755604811E-2</v>
      </c>
      <c r="K87" s="7">
        <f t="shared" si="8"/>
        <v>0.10517161557460808</v>
      </c>
    </row>
    <row r="88" spans="1:11" x14ac:dyDescent="0.25">
      <c r="A88">
        <v>20043</v>
      </c>
      <c r="B88" s="5">
        <v>2.3599999999999999E-2</v>
      </c>
      <c r="C88" s="6">
        <v>4.0000000000000001E-3</v>
      </c>
      <c r="D88" s="7">
        <v>2.76E-2</v>
      </c>
      <c r="I88" s="5">
        <f t="shared" si="6"/>
        <v>2.3599999999999999E-2</v>
      </c>
      <c r="J88" s="6">
        <f t="shared" si="7"/>
        <v>4.1785775162183291E-4</v>
      </c>
      <c r="K88" s="7">
        <f t="shared" si="8"/>
        <v>2.4027719194560149E-2</v>
      </c>
    </row>
    <row r="89" spans="1:11" x14ac:dyDescent="0.25">
      <c r="A89">
        <v>20042</v>
      </c>
      <c r="B89" s="5">
        <v>2.3E-2</v>
      </c>
      <c r="C89" s="6">
        <v>1.14E-2</v>
      </c>
      <c r="D89" s="7">
        <v>3.44E-2</v>
      </c>
      <c r="I89" s="5">
        <f t="shared" si="6"/>
        <v>2.3E-2</v>
      </c>
      <c r="J89" s="6">
        <f t="shared" si="7"/>
        <v>1.1690443966084717E-2</v>
      </c>
      <c r="K89" s="7">
        <f t="shared" si="8"/>
        <v>3.4959324177304518E-2</v>
      </c>
    </row>
    <row r="90" spans="1:11" x14ac:dyDescent="0.25">
      <c r="A90">
        <v>20041</v>
      </c>
      <c r="B90" s="5">
        <v>2.3E-2</v>
      </c>
      <c r="C90" s="6">
        <v>1.0800000000000001E-2</v>
      </c>
      <c r="D90" s="7">
        <v>3.3799999999999997E-2</v>
      </c>
      <c r="I90" s="5">
        <f t="shared" si="6"/>
        <v>2.3E-2</v>
      </c>
      <c r="J90" s="6">
        <f t="shared" si="7"/>
        <v>6.0076745596021825E-3</v>
      </c>
      <c r="K90" s="7">
        <f t="shared" si="8"/>
        <v>2.9145851074473095E-2</v>
      </c>
    </row>
    <row r="91" spans="1:11" x14ac:dyDescent="0.25">
      <c r="A91">
        <v>20034</v>
      </c>
      <c r="B91" s="5">
        <v>2.3099999999999999E-2</v>
      </c>
      <c r="C91" s="6">
        <v>2.07E-2</v>
      </c>
      <c r="D91" s="7">
        <v>4.3799999999999999E-2</v>
      </c>
      <c r="I91" s="5">
        <f t="shared" si="6"/>
        <v>2.3099999999999999E-2</v>
      </c>
      <c r="J91" s="6">
        <f t="shared" si="7"/>
        <v>3.0962353468326639E-2</v>
      </c>
      <c r="K91" s="7">
        <f t="shared" si="8"/>
        <v>5.4777583833444776E-2</v>
      </c>
    </row>
    <row r="92" spans="1:11" x14ac:dyDescent="0.25">
      <c r="A92">
        <v>20033</v>
      </c>
      <c r="B92" s="8">
        <v>2.3E-2</v>
      </c>
      <c r="C92" s="9">
        <v>-5.0000000000000001E-4</v>
      </c>
      <c r="D92" s="10">
        <v>2.2499999999999999E-2</v>
      </c>
      <c r="I92" s="8">
        <f t="shared" si="6"/>
        <v>2.3E-2</v>
      </c>
      <c r="J92" s="9">
        <f t="shared" si="7"/>
        <v>-7.4203663840393015E-4</v>
      </c>
      <c r="K92" s="10">
        <f t="shared" si="8"/>
        <v>2.2240896518912701E-2</v>
      </c>
    </row>
  </sheetData>
  <mergeCells count="8">
    <mergeCell ref="M3:N3"/>
    <mergeCell ref="M4:N4"/>
    <mergeCell ref="A1:B1"/>
    <mergeCell ref="A2:B2"/>
    <mergeCell ref="B5:D5"/>
    <mergeCell ref="F3:G3"/>
    <mergeCell ref="F4:G4"/>
    <mergeCell ref="I5:K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7"/>
  <sheetViews>
    <sheetView workbookViewId="0">
      <selection sqref="A1:B1"/>
    </sheetView>
  </sheetViews>
  <sheetFormatPr defaultRowHeight="15" x14ac:dyDescent="0.25"/>
  <cols>
    <col min="1" max="4" width="12.7109375" customWidth="1"/>
    <col min="5" max="5" width="4.7109375" customWidth="1"/>
    <col min="6" max="7" width="12.7109375" customWidth="1"/>
    <col min="8" max="8" width="4.7109375" customWidth="1"/>
    <col min="9" max="11" width="12.7109375" customWidth="1"/>
    <col min="12" max="12" width="4.7109375" customWidth="1"/>
    <col min="13" max="16" width="12.7109375" customWidth="1"/>
  </cols>
  <sheetData>
    <row r="1" spans="1:14" x14ac:dyDescent="0.25">
      <c r="A1" s="41" t="s">
        <v>17</v>
      </c>
      <c r="B1" s="40"/>
      <c r="C1" s="15" t="s">
        <v>9</v>
      </c>
    </row>
    <row r="2" spans="1:14" x14ac:dyDescent="0.25">
      <c r="A2" s="39" t="s">
        <v>18</v>
      </c>
      <c r="B2" s="40"/>
      <c r="C2" s="18">
        <f>CORREL(C7:C82,C9:C84)</f>
        <v>0.50233887928008203</v>
      </c>
    </row>
    <row r="3" spans="1:14" x14ac:dyDescent="0.25">
      <c r="F3" s="36" t="s">
        <v>1</v>
      </c>
      <c r="G3" s="35"/>
      <c r="M3" s="36" t="s">
        <v>2</v>
      </c>
      <c r="N3" s="35"/>
    </row>
    <row r="4" spans="1:14" x14ac:dyDescent="0.25">
      <c r="F4" s="37">
        <f t="array" ref="F4">+(STDEV(D7:D84+1)*SQRT(4))</f>
        <v>6.3757335699336226E-2</v>
      </c>
      <c r="G4" s="38"/>
      <c r="M4" s="37">
        <f t="array" ref="M4">+(STDEV(K7:K84+1)*SQRT(4))</f>
        <v>9.7438821599635822E-2</v>
      </c>
      <c r="N4" s="38"/>
    </row>
    <row r="5" spans="1:14" x14ac:dyDescent="0.25">
      <c r="B5" s="33" t="s">
        <v>20</v>
      </c>
      <c r="C5" s="34"/>
      <c r="D5" s="35"/>
      <c r="I5" s="33" t="s">
        <v>21</v>
      </c>
      <c r="J5" s="34"/>
      <c r="K5" s="35"/>
    </row>
    <row r="6" spans="1:14" x14ac:dyDescent="0.25">
      <c r="B6" s="2" t="s">
        <v>22</v>
      </c>
      <c r="C6" s="3" t="s">
        <v>23</v>
      </c>
      <c r="D6" s="4" t="s">
        <v>24</v>
      </c>
      <c r="I6" s="12" t="s">
        <v>22</v>
      </c>
      <c r="J6" s="13" t="s">
        <v>23</v>
      </c>
      <c r="K6" s="14" t="s">
        <v>24</v>
      </c>
    </row>
    <row r="7" spans="1:14" x14ac:dyDescent="0.25">
      <c r="A7">
        <v>20244</v>
      </c>
      <c r="B7" s="5">
        <v>1.12E-2</v>
      </c>
      <c r="C7" s="6">
        <v>4.5999999999999999E-3</v>
      </c>
      <c r="D7" s="7">
        <v>1.5699999999999999E-2</v>
      </c>
      <c r="I7" s="5">
        <f t="shared" ref="I7:I38" si="0">+B7</f>
        <v>1.12E-2</v>
      </c>
      <c r="J7" s="6">
        <f t="shared" ref="J7:J38" si="1">(C7-($C$2*C8))/(1-$C$2)</f>
        <v>4.9028198456934294E-3</v>
      </c>
      <c r="K7" s="7">
        <f t="shared" ref="K7:K38" si="2">(1+I7)*(1+J7)-1</f>
        <v>1.6157731427965283E-2</v>
      </c>
    </row>
    <row r="8" spans="1:14" x14ac:dyDescent="0.25">
      <c r="A8">
        <v>20243</v>
      </c>
      <c r="B8" s="5">
        <v>1.12E-2</v>
      </c>
      <c r="C8" s="6">
        <v>4.3E-3</v>
      </c>
      <c r="D8" s="7">
        <v>1.55E-2</v>
      </c>
      <c r="I8" s="5">
        <f t="shared" si="0"/>
        <v>1.12E-2</v>
      </c>
      <c r="J8" s="6">
        <f t="shared" si="1"/>
        <v>1.6917493570559553E-2</v>
      </c>
      <c r="K8" s="7">
        <f t="shared" si="2"/>
        <v>2.830696949855005E-2</v>
      </c>
    </row>
    <row r="9" spans="1:14" x14ac:dyDescent="0.25">
      <c r="A9">
        <v>20242</v>
      </c>
      <c r="B9" s="5">
        <v>1.0699999999999999E-2</v>
      </c>
      <c r="C9" s="6">
        <v>-8.2000000000000007E-3</v>
      </c>
      <c r="D9" s="7">
        <v>2.5000000000000001E-3</v>
      </c>
      <c r="I9" s="5">
        <f t="shared" si="0"/>
        <v>1.0699999999999999E-2</v>
      </c>
      <c r="J9" s="6">
        <f t="shared" si="1"/>
        <v>-5.8783811830170445E-3</v>
      </c>
      <c r="K9" s="7">
        <f t="shared" si="2"/>
        <v>4.7587201383245681E-3</v>
      </c>
    </row>
    <row r="10" spans="1:14" x14ac:dyDescent="0.25">
      <c r="A10">
        <v>20241</v>
      </c>
      <c r="B10" s="5">
        <v>1.0200000000000001E-2</v>
      </c>
      <c r="C10" s="6">
        <v>-1.0500000000000001E-2</v>
      </c>
      <c r="D10" s="7">
        <v>-2.9999999999999997E-4</v>
      </c>
      <c r="I10" s="5">
        <f t="shared" si="0"/>
        <v>1.0200000000000001E-2</v>
      </c>
      <c r="J10" s="6">
        <f t="shared" si="1"/>
        <v>7.9720105872991814E-3</v>
      </c>
      <c r="K10" s="7">
        <f t="shared" si="2"/>
        <v>1.8253325095289652E-2</v>
      </c>
    </row>
    <row r="11" spans="1:14" x14ac:dyDescent="0.25">
      <c r="A11">
        <v>20234</v>
      </c>
      <c r="B11" s="5">
        <v>1.0699999999999999E-2</v>
      </c>
      <c r="C11" s="6">
        <v>-2.8799999999999999E-2</v>
      </c>
      <c r="D11" s="7">
        <v>-1.8100000000000002E-2</v>
      </c>
      <c r="I11" s="5">
        <f t="shared" si="0"/>
        <v>1.0699999999999999E-2</v>
      </c>
      <c r="J11" s="6">
        <f t="shared" si="1"/>
        <v>-4.5253211616009655E-2</v>
      </c>
      <c r="K11" s="7">
        <f t="shared" si="2"/>
        <v>-3.5037420980301048E-2</v>
      </c>
    </row>
    <row r="12" spans="1:14" x14ac:dyDescent="0.25">
      <c r="A12">
        <v>20233</v>
      </c>
      <c r="B12" s="5">
        <v>1.04E-2</v>
      </c>
      <c r="C12" s="6">
        <v>-1.2500000000000001E-2</v>
      </c>
      <c r="D12" s="7">
        <v>-2.0999999999999999E-3</v>
      </c>
      <c r="I12" s="5">
        <f t="shared" si="0"/>
        <v>1.04E-2</v>
      </c>
      <c r="J12" s="6">
        <f t="shared" si="1"/>
        <v>-1.3105639691386858E-2</v>
      </c>
      <c r="K12" s="7">
        <f t="shared" si="2"/>
        <v>-2.8419383441773416E-3</v>
      </c>
    </row>
    <row r="13" spans="1:14" x14ac:dyDescent="0.25">
      <c r="A13">
        <v>20232</v>
      </c>
      <c r="B13" s="5">
        <v>1.03E-2</v>
      </c>
      <c r="C13" s="6">
        <v>-1.1900000000000001E-2</v>
      </c>
      <c r="D13" s="7">
        <v>-1.5E-3</v>
      </c>
      <c r="I13" s="5">
        <f t="shared" si="0"/>
        <v>1.03E-2</v>
      </c>
      <c r="J13" s="6">
        <f t="shared" si="1"/>
        <v>-5.0360834976156035E-3</v>
      </c>
      <c r="K13" s="7">
        <f t="shared" si="2"/>
        <v>5.2120448423589316E-3</v>
      </c>
    </row>
    <row r="14" spans="1:14" x14ac:dyDescent="0.25">
      <c r="A14">
        <v>20231</v>
      </c>
      <c r="B14" s="5">
        <v>0.01</v>
      </c>
      <c r="C14" s="6">
        <v>-1.8700000000000001E-2</v>
      </c>
      <c r="D14" s="7">
        <v>-8.6999999999999994E-3</v>
      </c>
      <c r="I14" s="5">
        <f t="shared" si="0"/>
        <v>0.01</v>
      </c>
      <c r="J14" s="6">
        <f t="shared" si="1"/>
        <v>-1.6176501285888094E-2</v>
      </c>
      <c r="K14" s="7">
        <f t="shared" si="2"/>
        <v>-6.3382662987470084E-3</v>
      </c>
    </row>
    <row r="15" spans="1:14" x14ac:dyDescent="0.25">
      <c r="A15">
        <v>20224</v>
      </c>
      <c r="B15" s="5">
        <v>1.04E-2</v>
      </c>
      <c r="C15" s="6">
        <v>-2.12E-2</v>
      </c>
      <c r="D15" s="7">
        <v>-1.0800000000000001E-2</v>
      </c>
      <c r="I15" s="5">
        <f t="shared" si="0"/>
        <v>1.04E-2</v>
      </c>
      <c r="J15" s="6">
        <f t="shared" si="1"/>
        <v>-6.0970339734403703E-2</v>
      </c>
      <c r="K15" s="7">
        <f t="shared" si="2"/>
        <v>-5.1204431267641515E-2</v>
      </c>
    </row>
    <row r="16" spans="1:14" x14ac:dyDescent="0.25">
      <c r="A16">
        <v>20223</v>
      </c>
      <c r="B16" s="5">
        <v>1.06E-2</v>
      </c>
      <c r="C16" s="6">
        <v>1.8200000000000001E-2</v>
      </c>
      <c r="D16" s="7">
        <v>2.8799999999999999E-2</v>
      </c>
      <c r="I16" s="5">
        <f t="shared" si="0"/>
        <v>1.06E-2</v>
      </c>
      <c r="J16" s="6">
        <f t="shared" si="1"/>
        <v>-1.0668825289440255E-2</v>
      </c>
      <c r="K16" s="7">
        <f t="shared" si="2"/>
        <v>-1.8191483750840121E-4</v>
      </c>
    </row>
    <row r="17" spans="1:11" x14ac:dyDescent="0.25">
      <c r="A17">
        <v>20222</v>
      </c>
      <c r="B17" s="5">
        <v>1.0800000000000001E-2</v>
      </c>
      <c r="C17" s="6">
        <v>4.6800000000000001E-2</v>
      </c>
      <c r="D17" s="7">
        <v>5.7599999999999998E-2</v>
      </c>
      <c r="I17" s="5">
        <f t="shared" si="0"/>
        <v>1.0800000000000001E-2</v>
      </c>
      <c r="J17" s="6">
        <f t="shared" si="1"/>
        <v>2.9539268795474541E-2</v>
      </c>
      <c r="K17" s="7">
        <f t="shared" si="2"/>
        <v>4.0658292898465564E-2</v>
      </c>
    </row>
    <row r="18" spans="1:11" x14ac:dyDescent="0.25">
      <c r="A18">
        <v>20221</v>
      </c>
      <c r="B18" s="5">
        <v>1.09E-2</v>
      </c>
      <c r="C18" s="6">
        <v>6.3899999999999998E-2</v>
      </c>
      <c r="D18" s="7">
        <v>7.4800000000000005E-2</v>
      </c>
      <c r="I18" s="5">
        <f t="shared" si="0"/>
        <v>1.09E-2</v>
      </c>
      <c r="J18" s="6">
        <f t="shared" si="1"/>
        <v>2.2514621088564672E-2</v>
      </c>
      <c r="K18" s="7">
        <f t="shared" si="2"/>
        <v>3.3660030458430024E-2</v>
      </c>
    </row>
    <row r="19" spans="1:11" x14ac:dyDescent="0.25">
      <c r="A19">
        <v>20214</v>
      </c>
      <c r="B19" s="5">
        <v>1.2200000000000001E-2</v>
      </c>
      <c r="C19" s="6">
        <v>0.10489999999999999</v>
      </c>
      <c r="D19" s="7">
        <v>0.1171</v>
      </c>
      <c r="I19" s="5">
        <f t="shared" si="0"/>
        <v>1.2200000000000001E-2</v>
      </c>
      <c r="J19" s="6">
        <f t="shared" si="1"/>
        <v>0.13901770261479302</v>
      </c>
      <c r="K19" s="7">
        <f t="shared" si="2"/>
        <v>0.15291371858669334</v>
      </c>
    </row>
    <row r="20" spans="1:11" x14ac:dyDescent="0.25">
      <c r="A20">
        <v>20213</v>
      </c>
      <c r="B20" s="5">
        <v>1.29E-2</v>
      </c>
      <c r="C20" s="6">
        <v>7.1099999999999997E-2</v>
      </c>
      <c r="D20" s="7">
        <v>8.4000000000000005E-2</v>
      </c>
      <c r="I20" s="5">
        <f t="shared" si="0"/>
        <v>1.29E-2</v>
      </c>
      <c r="J20" s="6">
        <f t="shared" si="1"/>
        <v>9.6435927089683571E-2</v>
      </c>
      <c r="K20" s="7">
        <f t="shared" si="2"/>
        <v>0.11057995054914027</v>
      </c>
    </row>
    <row r="21" spans="1:11" x14ac:dyDescent="0.25">
      <c r="A21">
        <v>20212</v>
      </c>
      <c r="B21" s="5">
        <v>1.24E-2</v>
      </c>
      <c r="C21" s="6">
        <v>4.5999999999999999E-2</v>
      </c>
      <c r="D21" s="7">
        <v>5.8400000000000001E-2</v>
      </c>
      <c r="I21" s="5">
        <f t="shared" si="0"/>
        <v>1.24E-2</v>
      </c>
      <c r="J21" s="6">
        <f t="shared" si="1"/>
        <v>7.3657545906666538E-2</v>
      </c>
      <c r="K21" s="7">
        <f t="shared" si="2"/>
        <v>8.6970899475909302E-2</v>
      </c>
    </row>
    <row r="22" spans="1:11" x14ac:dyDescent="0.25">
      <c r="A22">
        <v>20211</v>
      </c>
      <c r="B22" s="5">
        <v>1.1900000000000001E-2</v>
      </c>
      <c r="C22" s="6">
        <v>1.8599999999999998E-2</v>
      </c>
      <c r="D22" s="7">
        <v>3.0499999999999999E-2</v>
      </c>
      <c r="I22" s="5">
        <f t="shared" si="0"/>
        <v>1.1900000000000001E-2</v>
      </c>
      <c r="J22" s="6">
        <f t="shared" si="1"/>
        <v>1.6379321131581515E-2</v>
      </c>
      <c r="K22" s="7">
        <f t="shared" si="2"/>
        <v>2.8474235053047359E-2</v>
      </c>
    </row>
    <row r="23" spans="1:11" x14ac:dyDescent="0.25">
      <c r="A23">
        <v>20204</v>
      </c>
      <c r="B23" s="5">
        <v>1.2200000000000001E-2</v>
      </c>
      <c r="C23" s="6">
        <v>2.0799999999999999E-2</v>
      </c>
      <c r="D23" s="7">
        <v>3.3000000000000002E-2</v>
      </c>
      <c r="I23" s="5">
        <f t="shared" si="0"/>
        <v>1.2200000000000001E-2</v>
      </c>
      <c r="J23" s="6">
        <f t="shared" si="1"/>
        <v>3.1600574496398977E-2</v>
      </c>
      <c r="K23" s="7">
        <f t="shared" si="2"/>
        <v>4.4186101505254927E-2</v>
      </c>
    </row>
    <row r="24" spans="1:11" x14ac:dyDescent="0.25">
      <c r="A24">
        <v>20203</v>
      </c>
      <c r="B24" s="5">
        <v>1.15E-2</v>
      </c>
      <c r="C24" s="6">
        <v>1.01E-2</v>
      </c>
      <c r="D24" s="7">
        <v>2.1600000000000001E-2</v>
      </c>
      <c r="I24" s="5">
        <f t="shared" si="0"/>
        <v>1.15E-2</v>
      </c>
      <c r="J24" s="6">
        <f t="shared" si="1"/>
        <v>2.837013069017023E-2</v>
      </c>
      <c r="K24" s="7">
        <f t="shared" si="2"/>
        <v>4.0196387193107253E-2</v>
      </c>
    </row>
    <row r="25" spans="1:11" x14ac:dyDescent="0.25">
      <c r="A25">
        <v>20202</v>
      </c>
      <c r="B25" s="5">
        <v>1.12E-2</v>
      </c>
      <c r="C25" s="6">
        <v>-8.0000000000000002E-3</v>
      </c>
      <c r="D25" s="7">
        <v>3.2000000000000002E-3</v>
      </c>
      <c r="I25" s="5">
        <f t="shared" si="0"/>
        <v>1.12E-2</v>
      </c>
      <c r="J25" s="6">
        <f t="shared" si="1"/>
        <v>-1.758929511362526E-2</v>
      </c>
      <c r="K25" s="7">
        <f t="shared" si="2"/>
        <v>-6.586295218897753E-3</v>
      </c>
    </row>
    <row r="26" spans="1:11" x14ac:dyDescent="0.25">
      <c r="A26">
        <v>20201</v>
      </c>
      <c r="B26" s="5">
        <v>1.14E-2</v>
      </c>
      <c r="C26" s="6">
        <v>1.5E-3</v>
      </c>
      <c r="D26" s="7">
        <v>1.29E-2</v>
      </c>
      <c r="I26" s="5">
        <f t="shared" si="0"/>
        <v>1.14E-2</v>
      </c>
      <c r="J26" s="6">
        <f t="shared" si="1"/>
        <v>4.906005143552357E-4</v>
      </c>
      <c r="K26" s="7">
        <f t="shared" si="2"/>
        <v>1.1896193360218854E-2</v>
      </c>
    </row>
    <row r="27" spans="1:11" x14ac:dyDescent="0.25">
      <c r="A27">
        <v>20194</v>
      </c>
      <c r="B27" s="5">
        <v>1.2E-2</v>
      </c>
      <c r="C27" s="6">
        <v>2.5000000000000001E-3</v>
      </c>
      <c r="D27" s="7">
        <v>1.4500000000000001E-2</v>
      </c>
      <c r="I27" s="5">
        <f t="shared" si="0"/>
        <v>1.2E-2</v>
      </c>
      <c r="J27" s="6">
        <f t="shared" si="1"/>
        <v>-2.8498172739172484E-3</v>
      </c>
      <c r="K27" s="7">
        <f t="shared" si="2"/>
        <v>9.1159849187958386E-3</v>
      </c>
    </row>
    <row r="28" spans="1:11" x14ac:dyDescent="0.25">
      <c r="A28">
        <v>20193</v>
      </c>
      <c r="B28" s="5">
        <v>1.21E-2</v>
      </c>
      <c r="C28" s="6">
        <v>7.7999999999999996E-3</v>
      </c>
      <c r="D28" s="7">
        <v>0.02</v>
      </c>
      <c r="I28" s="5">
        <f t="shared" si="0"/>
        <v>1.21E-2</v>
      </c>
      <c r="J28" s="6">
        <f t="shared" si="1"/>
        <v>4.6708615945012305E-3</v>
      </c>
      <c r="K28" s="7">
        <f t="shared" si="2"/>
        <v>1.6827379019794808E-2</v>
      </c>
    </row>
    <row r="29" spans="1:11" x14ac:dyDescent="0.25">
      <c r="A29">
        <v>20192</v>
      </c>
      <c r="B29" s="5">
        <v>1.1900000000000001E-2</v>
      </c>
      <c r="C29" s="6">
        <v>1.09E-2</v>
      </c>
      <c r="D29" s="7">
        <v>2.29E-2</v>
      </c>
      <c r="I29" s="5">
        <f t="shared" si="0"/>
        <v>1.1900000000000001E-2</v>
      </c>
      <c r="J29" s="6">
        <f t="shared" si="1"/>
        <v>2.6747571924622793E-2</v>
      </c>
      <c r="K29" s="7">
        <f t="shared" si="2"/>
        <v>3.8965868030525819E-2</v>
      </c>
    </row>
    <row r="30" spans="1:11" x14ac:dyDescent="0.25">
      <c r="A30">
        <v>20191</v>
      </c>
      <c r="B30" s="5">
        <v>1.15E-2</v>
      </c>
      <c r="C30" s="6">
        <v>-4.7999999999999996E-3</v>
      </c>
      <c r="D30" s="7">
        <v>6.7000000000000002E-3</v>
      </c>
      <c r="I30" s="5">
        <f t="shared" si="0"/>
        <v>1.15E-2</v>
      </c>
      <c r="J30" s="6">
        <f t="shared" si="1"/>
        <v>-2.0344752078929364E-2</v>
      </c>
      <c r="K30" s="7">
        <f t="shared" si="2"/>
        <v>-9.0787167278369996E-3</v>
      </c>
    </row>
    <row r="31" spans="1:11" x14ac:dyDescent="0.25">
      <c r="A31">
        <v>20184</v>
      </c>
      <c r="B31" s="5">
        <v>1.3299999999999999E-2</v>
      </c>
      <c r="C31" s="6">
        <v>1.06E-2</v>
      </c>
      <c r="D31" s="7">
        <v>2.3900000000000001E-2</v>
      </c>
      <c r="I31" s="5">
        <f t="shared" si="0"/>
        <v>1.3299999999999999E-2</v>
      </c>
      <c r="J31" s="6">
        <f t="shared" si="1"/>
        <v>1.2719738919854003E-2</v>
      </c>
      <c r="K31" s="7">
        <f t="shared" si="2"/>
        <v>2.6188911447488028E-2</v>
      </c>
    </row>
    <row r="32" spans="1:11" x14ac:dyDescent="0.25">
      <c r="A32">
        <v>20183</v>
      </c>
      <c r="B32" s="5">
        <v>1.2500000000000001E-2</v>
      </c>
      <c r="C32" s="6">
        <v>8.5000000000000006E-3</v>
      </c>
      <c r="D32" s="7">
        <v>2.1000000000000001E-2</v>
      </c>
      <c r="I32" s="5">
        <f t="shared" si="0"/>
        <v>1.2500000000000001E-2</v>
      </c>
      <c r="J32" s="6">
        <f t="shared" si="1"/>
        <v>1.9502454393527928E-2</v>
      </c>
      <c r="K32" s="7">
        <f t="shared" si="2"/>
        <v>3.2246235073446927E-2</v>
      </c>
    </row>
    <row r="33" spans="1:11" x14ac:dyDescent="0.25">
      <c r="A33">
        <v>20182</v>
      </c>
      <c r="B33" s="5">
        <v>1.1900000000000001E-2</v>
      </c>
      <c r="C33" s="6">
        <v>-2.3999999999999998E-3</v>
      </c>
      <c r="D33" s="7">
        <v>9.4999999999999998E-3</v>
      </c>
      <c r="I33" s="5">
        <f t="shared" si="0"/>
        <v>1.1900000000000001E-2</v>
      </c>
      <c r="J33" s="6">
        <f t="shared" si="1"/>
        <v>-4.8226736648272282E-2</v>
      </c>
      <c r="K33" s="7">
        <f t="shared" si="2"/>
        <v>-3.6900634814386657E-2</v>
      </c>
    </row>
    <row r="34" spans="1:11" x14ac:dyDescent="0.25">
      <c r="A34">
        <v>20181</v>
      </c>
      <c r="B34" s="5">
        <v>1.14E-2</v>
      </c>
      <c r="C34" s="6">
        <v>4.2999999999999997E-2</v>
      </c>
      <c r="D34" s="7">
        <v>5.4399999999999997E-2</v>
      </c>
      <c r="I34" s="5">
        <f t="shared" si="0"/>
        <v>1.14E-2</v>
      </c>
      <c r="J34" s="6">
        <f t="shared" si="1"/>
        <v>7.4291384054987683E-2</v>
      </c>
      <c r="K34" s="7">
        <f t="shared" si="2"/>
        <v>8.6538305833214535E-2</v>
      </c>
    </row>
    <row r="35" spans="1:11" x14ac:dyDescent="0.25">
      <c r="A35">
        <v>20174</v>
      </c>
      <c r="B35" s="5">
        <v>1.34E-2</v>
      </c>
      <c r="C35" s="6">
        <v>1.2E-2</v>
      </c>
      <c r="D35" s="7">
        <v>2.5399999999999999E-2</v>
      </c>
      <c r="I35" s="5">
        <f t="shared" si="0"/>
        <v>1.34E-2</v>
      </c>
      <c r="J35" s="6">
        <f t="shared" si="1"/>
        <v>1.4119738919854003E-2</v>
      </c>
      <c r="K35" s="7">
        <f t="shared" si="2"/>
        <v>2.7708943421380194E-2</v>
      </c>
    </row>
    <row r="36" spans="1:11" x14ac:dyDescent="0.25">
      <c r="A36">
        <v>20173</v>
      </c>
      <c r="B36" s="5">
        <v>1.35E-2</v>
      </c>
      <c r="C36" s="6">
        <v>9.9000000000000008E-3</v>
      </c>
      <c r="D36" s="7">
        <v>2.3400000000000001E-2</v>
      </c>
      <c r="I36" s="5">
        <f t="shared" si="0"/>
        <v>1.35E-2</v>
      </c>
      <c r="J36" s="6">
        <f t="shared" si="1"/>
        <v>1.2120678868418482E-2</v>
      </c>
      <c r="K36" s="7">
        <f t="shared" si="2"/>
        <v>2.5784308033142134E-2</v>
      </c>
    </row>
    <row r="37" spans="1:11" x14ac:dyDescent="0.25">
      <c r="A37">
        <v>20172</v>
      </c>
      <c r="B37" s="5">
        <v>1.32E-2</v>
      </c>
      <c r="C37" s="6">
        <v>7.7000000000000002E-3</v>
      </c>
      <c r="D37" s="7">
        <v>2.0899999999999998E-2</v>
      </c>
      <c r="I37" s="5">
        <f t="shared" si="0"/>
        <v>1.32E-2</v>
      </c>
      <c r="J37" s="6">
        <f t="shared" si="1"/>
        <v>7.4981201028710472E-3</v>
      </c>
      <c r="K37" s="7">
        <f t="shared" si="2"/>
        <v>2.0797095288229039E-2</v>
      </c>
    </row>
    <row r="38" spans="1:11" x14ac:dyDescent="0.25">
      <c r="A38">
        <v>20171</v>
      </c>
      <c r="B38" s="5">
        <v>1.32E-2</v>
      </c>
      <c r="C38" s="6">
        <v>7.9000000000000008E-3</v>
      </c>
      <c r="D38" s="7">
        <v>2.1100000000000001E-2</v>
      </c>
      <c r="I38" s="5">
        <f t="shared" si="0"/>
        <v>1.32E-2</v>
      </c>
      <c r="J38" s="6">
        <f t="shared" si="1"/>
        <v>-2.3958747535765936E-3</v>
      </c>
      <c r="K38" s="7">
        <f t="shared" si="2"/>
        <v>1.0772499699676308E-2</v>
      </c>
    </row>
    <row r="39" spans="1:11" x14ac:dyDescent="0.25">
      <c r="A39">
        <v>20164</v>
      </c>
      <c r="B39" s="5">
        <v>1.4200000000000001E-2</v>
      </c>
      <c r="C39" s="6">
        <v>1.8100000000000002E-2</v>
      </c>
      <c r="D39" s="7">
        <v>3.2300000000000002E-2</v>
      </c>
      <c r="I39" s="5">
        <f t="shared" ref="I39:I70" si="3">+B39</f>
        <v>1.4200000000000001E-2</v>
      </c>
      <c r="J39" s="6">
        <f t="shared" ref="J39:J70" si="4">(C39-($C$2*C40))/(1-$C$2)</f>
        <v>1.7999060051435527E-2</v>
      </c>
      <c r="K39" s="7">
        <f t="shared" ref="K39:K70" si="5">(1+I39)*(1+J39)-1</f>
        <v>3.2454646704165757E-2</v>
      </c>
    </row>
    <row r="40" spans="1:11" x14ac:dyDescent="0.25">
      <c r="A40">
        <v>20163</v>
      </c>
      <c r="B40" s="5">
        <v>1.44E-2</v>
      </c>
      <c r="C40" s="6">
        <v>1.8200000000000001E-2</v>
      </c>
      <c r="D40" s="7">
        <v>3.2599999999999997E-2</v>
      </c>
      <c r="I40" s="5">
        <f t="shared" si="3"/>
        <v>1.44E-2</v>
      </c>
      <c r="J40" s="6">
        <f t="shared" si="4"/>
        <v>1.2547362880389322E-2</v>
      </c>
      <c r="K40" s="7">
        <f t="shared" si="5"/>
        <v>2.7128044905866844E-2</v>
      </c>
    </row>
    <row r="41" spans="1:11" x14ac:dyDescent="0.25">
      <c r="A41">
        <v>20162</v>
      </c>
      <c r="B41" s="5">
        <v>1.3899999999999999E-2</v>
      </c>
      <c r="C41" s="6">
        <v>2.3800000000000002E-2</v>
      </c>
      <c r="D41" s="7">
        <v>3.7699999999999997E-2</v>
      </c>
      <c r="I41" s="5">
        <f t="shared" si="3"/>
        <v>1.3899999999999999E-2</v>
      </c>
      <c r="J41" s="6">
        <f t="shared" si="4"/>
        <v>4.5204698241850085E-3</v>
      </c>
      <c r="K41" s="7">
        <f t="shared" si="5"/>
        <v>1.8483304354741215E-2</v>
      </c>
    </row>
    <row r="42" spans="1:11" x14ac:dyDescent="0.25">
      <c r="A42">
        <v>20161</v>
      </c>
      <c r="B42" s="5">
        <v>1.37E-2</v>
      </c>
      <c r="C42" s="6">
        <v>4.2900000000000001E-2</v>
      </c>
      <c r="D42" s="7">
        <v>5.67E-2</v>
      </c>
      <c r="I42" s="5">
        <f t="shared" si="3"/>
        <v>1.37E-2</v>
      </c>
      <c r="J42" s="6">
        <f t="shared" si="4"/>
        <v>5.3902454393527928E-2</v>
      </c>
      <c r="K42" s="7">
        <f t="shared" si="5"/>
        <v>6.8340918018719332E-2</v>
      </c>
    </row>
    <row r="43" spans="1:11" x14ac:dyDescent="0.25">
      <c r="A43">
        <v>20154</v>
      </c>
      <c r="B43" s="5">
        <v>1.4800000000000001E-2</v>
      </c>
      <c r="C43" s="6">
        <v>3.2000000000000001E-2</v>
      </c>
      <c r="D43" s="7">
        <v>4.6699999999999998E-2</v>
      </c>
      <c r="I43" s="5">
        <f t="shared" si="3"/>
        <v>1.4800000000000001E-2</v>
      </c>
      <c r="J43" s="6">
        <f t="shared" si="4"/>
        <v>4.2093994856447645E-2</v>
      </c>
      <c r="K43" s="7">
        <f t="shared" si="5"/>
        <v>5.7516985980322843E-2</v>
      </c>
    </row>
    <row r="44" spans="1:11" x14ac:dyDescent="0.25">
      <c r="A44">
        <v>20153</v>
      </c>
      <c r="B44" s="5">
        <v>1.5100000000000001E-2</v>
      </c>
      <c r="C44" s="6">
        <v>2.1999999999999999E-2</v>
      </c>
      <c r="D44" s="7">
        <v>3.7100000000000001E-2</v>
      </c>
      <c r="I44" s="5">
        <f t="shared" si="3"/>
        <v>1.5100000000000001E-2</v>
      </c>
      <c r="J44" s="6">
        <f t="shared" si="4"/>
        <v>-2.0678868418480583E-4</v>
      </c>
      <c r="K44" s="7">
        <f t="shared" si="5"/>
        <v>1.4890088806683854E-2</v>
      </c>
    </row>
    <row r="45" spans="1:11" x14ac:dyDescent="0.25">
      <c r="A45">
        <v>20152</v>
      </c>
      <c r="B45" s="5">
        <v>1.4800000000000001E-2</v>
      </c>
      <c r="C45" s="6">
        <v>4.3999999999999997E-2</v>
      </c>
      <c r="D45" s="7">
        <v>5.8799999999999998E-2</v>
      </c>
      <c r="I45" s="5">
        <f t="shared" si="3"/>
        <v>1.4800000000000001E-2</v>
      </c>
      <c r="J45" s="6">
        <f t="shared" si="4"/>
        <v>6.0856971410267552E-2</v>
      </c>
      <c r="K45" s="7">
        <f t="shared" si="5"/>
        <v>7.6557654587139368E-2</v>
      </c>
    </row>
    <row r="46" spans="1:11" x14ac:dyDescent="0.25">
      <c r="A46">
        <v>20151</v>
      </c>
      <c r="B46" s="5">
        <v>1.43E-2</v>
      </c>
      <c r="C46" s="6">
        <v>2.7300000000000001E-2</v>
      </c>
      <c r="D46" s="7">
        <v>4.1599999999999998E-2</v>
      </c>
      <c r="I46" s="5">
        <f t="shared" si="3"/>
        <v>1.43E-2</v>
      </c>
      <c r="J46" s="6">
        <f t="shared" si="4"/>
        <v>2.5382140977274949E-2</v>
      </c>
      <c r="K46" s="7">
        <f t="shared" si="5"/>
        <v>4.004510559325003E-2</v>
      </c>
    </row>
    <row r="47" spans="1:11" x14ac:dyDescent="0.25">
      <c r="A47">
        <v>20144</v>
      </c>
      <c r="B47" s="5">
        <v>1.5299999999999999E-2</v>
      </c>
      <c r="C47" s="6">
        <v>2.92E-2</v>
      </c>
      <c r="D47" s="7">
        <v>4.4499999999999998E-2</v>
      </c>
      <c r="I47" s="5">
        <f t="shared" si="3"/>
        <v>1.5299999999999999E-2</v>
      </c>
      <c r="J47" s="6">
        <f t="shared" si="4"/>
        <v>3.7275195885158111E-2</v>
      </c>
      <c r="K47" s="7">
        <f t="shared" si="5"/>
        <v>5.3145506382201058E-2</v>
      </c>
    </row>
    <row r="48" spans="1:11" x14ac:dyDescent="0.25">
      <c r="A48">
        <v>20143</v>
      </c>
      <c r="B48" s="5">
        <v>1.5699999999999999E-2</v>
      </c>
      <c r="C48" s="6">
        <v>2.12E-2</v>
      </c>
      <c r="D48" s="7">
        <v>3.6999999999999998E-2</v>
      </c>
      <c r="I48" s="5">
        <f t="shared" si="3"/>
        <v>1.5699999999999999E-2</v>
      </c>
      <c r="J48" s="6">
        <f t="shared" si="4"/>
        <v>1.0298485555036546E-2</v>
      </c>
      <c r="K48" s="7">
        <f t="shared" si="5"/>
        <v>2.6160171778250696E-2</v>
      </c>
    </row>
    <row r="49" spans="1:11" x14ac:dyDescent="0.25">
      <c r="A49">
        <v>20142</v>
      </c>
      <c r="B49" s="5">
        <v>1.5299999999999999E-2</v>
      </c>
      <c r="C49" s="6">
        <v>3.2000000000000001E-2</v>
      </c>
      <c r="D49" s="7">
        <v>4.7300000000000002E-2</v>
      </c>
      <c r="I49" s="5">
        <f t="shared" si="3"/>
        <v>1.5299999999999999E-2</v>
      </c>
      <c r="J49" s="6">
        <f t="shared" si="4"/>
        <v>3.5936657994014583E-2</v>
      </c>
      <c r="K49" s="7">
        <f t="shared" si="5"/>
        <v>5.1786488861323088E-2</v>
      </c>
    </row>
    <row r="50" spans="1:11" x14ac:dyDescent="0.25">
      <c r="A50">
        <v>20141</v>
      </c>
      <c r="B50" s="5">
        <v>1.47E-2</v>
      </c>
      <c r="C50" s="6">
        <v>2.81E-2</v>
      </c>
      <c r="D50" s="7">
        <v>4.2799999999999998E-2</v>
      </c>
      <c r="I50" s="5">
        <f t="shared" si="3"/>
        <v>1.47E-2</v>
      </c>
      <c r="J50" s="6">
        <f t="shared" si="4"/>
        <v>7.8110703385402408E-3</v>
      </c>
      <c r="K50" s="7">
        <f t="shared" si="5"/>
        <v>2.2625893072516723E-2</v>
      </c>
    </row>
    <row r="51" spans="1:11" x14ac:dyDescent="0.25">
      <c r="A51">
        <v>20134</v>
      </c>
      <c r="B51" s="5">
        <v>1.67E-2</v>
      </c>
      <c r="C51" s="6">
        <v>4.82E-2</v>
      </c>
      <c r="D51" s="7">
        <v>6.5000000000000002E-2</v>
      </c>
      <c r="I51" s="5">
        <f t="shared" si="3"/>
        <v>1.67E-2</v>
      </c>
      <c r="J51" s="6">
        <f t="shared" si="4"/>
        <v>6.3240052336106981E-2</v>
      </c>
      <c r="K51" s="7">
        <f t="shared" si="5"/>
        <v>8.0996161210119988E-2</v>
      </c>
    </row>
    <row r="52" spans="1:11" x14ac:dyDescent="0.25">
      <c r="A52">
        <v>20133</v>
      </c>
      <c r="B52" s="5">
        <v>1.7100000000000001E-2</v>
      </c>
      <c r="C52" s="6">
        <v>3.3300000000000003E-2</v>
      </c>
      <c r="D52" s="7">
        <v>5.0299999999999997E-2</v>
      </c>
      <c r="I52" s="5">
        <f t="shared" si="3"/>
        <v>1.7100000000000001E-2</v>
      </c>
      <c r="J52" s="6">
        <f t="shared" si="4"/>
        <v>1.8562767509586454E-2</v>
      </c>
      <c r="K52" s="7">
        <f t="shared" si="5"/>
        <v>3.5980190834000281E-2</v>
      </c>
    </row>
    <row r="53" spans="1:11" x14ac:dyDescent="0.25">
      <c r="A53">
        <v>20132</v>
      </c>
      <c r="B53" s="5">
        <v>1.67E-2</v>
      </c>
      <c r="C53" s="6">
        <v>4.7899999999999998E-2</v>
      </c>
      <c r="D53" s="7">
        <v>6.4600000000000005E-2</v>
      </c>
      <c r="I53" s="5">
        <f t="shared" si="3"/>
        <v>1.67E-2</v>
      </c>
      <c r="J53" s="6">
        <f t="shared" si="4"/>
        <v>7.1519947964087477E-2</v>
      </c>
      <c r="K53" s="7">
        <f t="shared" si="5"/>
        <v>8.9414331095087674E-2</v>
      </c>
    </row>
    <row r="54" spans="1:11" x14ac:dyDescent="0.25">
      <c r="A54">
        <v>20131</v>
      </c>
      <c r="B54" s="5">
        <v>1.7000000000000001E-2</v>
      </c>
      <c r="C54" s="6">
        <v>2.4500000000000001E-2</v>
      </c>
      <c r="D54" s="7">
        <v>4.1500000000000002E-2</v>
      </c>
      <c r="I54" s="5">
        <f t="shared" si="3"/>
        <v>1.7000000000000001E-2</v>
      </c>
      <c r="J54" s="6">
        <f t="shared" si="4"/>
        <v>3.0253577068175157E-2</v>
      </c>
      <c r="K54" s="7">
        <f t="shared" si="5"/>
        <v>4.7767887878334081E-2</v>
      </c>
    </row>
    <row r="55" spans="1:11" x14ac:dyDescent="0.25">
      <c r="A55">
        <v>20124</v>
      </c>
      <c r="B55" s="5">
        <v>1.84E-2</v>
      </c>
      <c r="C55" s="6">
        <v>1.8800000000000001E-2</v>
      </c>
      <c r="D55" s="7">
        <v>3.7100000000000001E-2</v>
      </c>
      <c r="I55" s="5">
        <f t="shared" si="3"/>
        <v>1.84E-2</v>
      </c>
      <c r="J55" s="6">
        <f t="shared" si="4"/>
        <v>2.3846997428223823E-2</v>
      </c>
      <c r="K55" s="7">
        <f t="shared" si="5"/>
        <v>4.268578218090302E-2</v>
      </c>
    </row>
    <row r="56" spans="1:11" x14ac:dyDescent="0.25">
      <c r="A56">
        <v>20123</v>
      </c>
      <c r="B56" s="5">
        <v>1.67E-2</v>
      </c>
      <c r="C56" s="6">
        <v>1.38E-2</v>
      </c>
      <c r="D56" s="7">
        <v>3.0599999999999999E-2</v>
      </c>
      <c r="I56" s="5">
        <f t="shared" si="3"/>
        <v>1.67E-2</v>
      </c>
      <c r="J56" s="6">
        <f t="shared" si="4"/>
        <v>-1.728950415785873E-2</v>
      </c>
      <c r="K56" s="7">
        <f t="shared" si="5"/>
        <v>-8.7823887729499006E-4</v>
      </c>
    </row>
    <row r="57" spans="1:11" x14ac:dyDescent="0.25">
      <c r="A57">
        <v>20122</v>
      </c>
      <c r="B57" s="5">
        <v>1.7399999999999999E-2</v>
      </c>
      <c r="C57" s="6">
        <v>4.4600000000000001E-2</v>
      </c>
      <c r="D57" s="7">
        <v>6.2100000000000002E-2</v>
      </c>
      <c r="I57" s="5">
        <f t="shared" si="3"/>
        <v>1.7399999999999999E-2</v>
      </c>
      <c r="J57" s="6">
        <f t="shared" si="4"/>
        <v>1.7649033733284792E-2</v>
      </c>
      <c r="K57" s="7">
        <f t="shared" si="5"/>
        <v>3.5356126920244035E-2</v>
      </c>
    </row>
    <row r="58" spans="1:11" x14ac:dyDescent="0.25">
      <c r="A58">
        <v>20121</v>
      </c>
      <c r="B58" s="5">
        <v>1.7899999999999999E-2</v>
      </c>
      <c r="C58" s="6">
        <v>7.1300000000000002E-2</v>
      </c>
      <c r="D58" s="7">
        <v>8.9200000000000002E-2</v>
      </c>
      <c r="I58" s="5">
        <f t="shared" si="3"/>
        <v>1.7899999999999999E-2</v>
      </c>
      <c r="J58" s="6">
        <f t="shared" si="4"/>
        <v>0.11541075752267618</v>
      </c>
      <c r="K58" s="7">
        <f t="shared" si="5"/>
        <v>0.13537661008233215</v>
      </c>
    </row>
    <row r="59" spans="1:11" x14ac:dyDescent="0.25">
      <c r="A59">
        <v>20114</v>
      </c>
      <c r="B59" s="5">
        <v>1.9400000000000001E-2</v>
      </c>
      <c r="C59" s="6">
        <v>2.76E-2</v>
      </c>
      <c r="D59" s="7">
        <v>4.7E-2</v>
      </c>
      <c r="I59" s="5">
        <f t="shared" si="3"/>
        <v>1.9400000000000001E-2</v>
      </c>
      <c r="J59" s="6">
        <f t="shared" si="4"/>
        <v>4.0823133261946407E-2</v>
      </c>
      <c r="K59" s="7">
        <f t="shared" si="5"/>
        <v>6.1015102047228265E-2</v>
      </c>
    </row>
    <row r="60" spans="1:11" x14ac:dyDescent="0.25">
      <c r="A60">
        <v>20113</v>
      </c>
      <c r="B60" s="5">
        <v>1.9400000000000001E-2</v>
      </c>
      <c r="C60" s="6">
        <v>1.4500000000000001E-2</v>
      </c>
      <c r="D60" s="7">
        <v>3.39E-2</v>
      </c>
      <c r="I60" s="5">
        <f t="shared" si="3"/>
        <v>1.9400000000000001E-2</v>
      </c>
      <c r="J60" s="6">
        <f t="shared" si="4"/>
        <v>-3.3663708959123222E-3</v>
      </c>
      <c r="K60" s="7">
        <f t="shared" si="5"/>
        <v>1.5968321508707195E-2</v>
      </c>
    </row>
    <row r="61" spans="1:11" x14ac:dyDescent="0.25">
      <c r="A61">
        <v>20112</v>
      </c>
      <c r="B61" s="5">
        <v>1.9400000000000001E-2</v>
      </c>
      <c r="C61" s="6">
        <v>3.2199999999999999E-2</v>
      </c>
      <c r="D61" s="7">
        <v>5.16E-2</v>
      </c>
      <c r="I61" s="5">
        <f t="shared" si="3"/>
        <v>1.9400000000000001E-2</v>
      </c>
      <c r="J61" s="6">
        <f t="shared" si="4"/>
        <v>3.9568616245206779E-2</v>
      </c>
      <c r="K61" s="7">
        <f t="shared" si="5"/>
        <v>5.9736247400363762E-2</v>
      </c>
    </row>
    <row r="62" spans="1:11" x14ac:dyDescent="0.25">
      <c r="A62">
        <v>20111</v>
      </c>
      <c r="B62" s="5">
        <v>1.7500000000000002E-2</v>
      </c>
      <c r="C62" s="6">
        <v>2.4899999999999999E-2</v>
      </c>
      <c r="D62" s="7">
        <v>4.24E-2</v>
      </c>
      <c r="I62" s="5">
        <f t="shared" si="3"/>
        <v>1.7500000000000002E-2</v>
      </c>
      <c r="J62" s="6">
        <f t="shared" si="4"/>
        <v>4.3775770381557083E-2</v>
      </c>
      <c r="K62" s="7">
        <f t="shared" si="5"/>
        <v>6.2041846363234399E-2</v>
      </c>
    </row>
    <row r="63" spans="1:11" x14ac:dyDescent="0.25">
      <c r="A63">
        <v>20104</v>
      </c>
      <c r="B63" s="5">
        <v>1.9199999999999998E-2</v>
      </c>
      <c r="C63" s="6">
        <v>6.1999999999999998E-3</v>
      </c>
      <c r="D63" s="7">
        <v>2.5399999999999999E-2</v>
      </c>
      <c r="I63" s="5">
        <f t="shared" si="3"/>
        <v>1.9199999999999998E-2</v>
      </c>
      <c r="J63" s="6">
        <f t="shared" si="4"/>
        <v>9.2281984569342924E-3</v>
      </c>
      <c r="K63" s="7">
        <f t="shared" si="5"/>
        <v>2.8605379867307379E-2</v>
      </c>
    </row>
    <row r="64" spans="1:11" x14ac:dyDescent="0.25">
      <c r="A64">
        <v>20103</v>
      </c>
      <c r="B64" s="5">
        <v>1.8100000000000002E-2</v>
      </c>
      <c r="C64" s="6">
        <v>3.2000000000000002E-3</v>
      </c>
      <c r="D64" s="7">
        <v>2.1299999999999999E-2</v>
      </c>
      <c r="I64" s="5">
        <f t="shared" si="3"/>
        <v>1.8100000000000002E-2</v>
      </c>
      <c r="J64" s="6">
        <f t="shared" si="4"/>
        <v>2.1167310844476799E-2</v>
      </c>
      <c r="K64" s="7">
        <f t="shared" si="5"/>
        <v>3.965043917076172E-2</v>
      </c>
    </row>
    <row r="65" spans="1:11" x14ac:dyDescent="0.25">
      <c r="A65">
        <v>20102</v>
      </c>
      <c r="B65" s="5">
        <v>1.7299999999999999E-2</v>
      </c>
      <c r="C65" s="6">
        <v>-1.46E-2</v>
      </c>
      <c r="D65" s="7">
        <v>2.7000000000000001E-3</v>
      </c>
      <c r="I65" s="5">
        <f t="shared" si="3"/>
        <v>1.7299999999999999E-2</v>
      </c>
      <c r="J65" s="6">
        <f t="shared" si="4"/>
        <v>-2.7924073210510884E-2</v>
      </c>
      <c r="K65" s="7">
        <f t="shared" si="5"/>
        <v>-1.1107159677052669E-2</v>
      </c>
    </row>
    <row r="66" spans="1:11" x14ac:dyDescent="0.25">
      <c r="A66">
        <v>20101</v>
      </c>
      <c r="B66" s="5">
        <v>1.7899999999999999E-2</v>
      </c>
      <c r="C66" s="6">
        <v>-1.4E-3</v>
      </c>
      <c r="D66" s="7">
        <v>1.6400000000000001E-2</v>
      </c>
      <c r="I66" s="5">
        <f t="shared" si="3"/>
        <v>1.7899999999999999E-2</v>
      </c>
      <c r="J66" s="6">
        <f t="shared" si="4"/>
        <v>-1.8055091513138607E-2</v>
      </c>
      <c r="K66" s="7">
        <f t="shared" si="5"/>
        <v>-4.7827765122365751E-4</v>
      </c>
    </row>
    <row r="67" spans="1:11" x14ac:dyDescent="0.25">
      <c r="A67">
        <v>20094</v>
      </c>
      <c r="B67" s="5">
        <v>1.6E-2</v>
      </c>
      <c r="C67" s="6">
        <v>1.5100000000000001E-2</v>
      </c>
      <c r="D67" s="7">
        <v>3.1099999999999999E-2</v>
      </c>
      <c r="I67" s="5">
        <f t="shared" si="3"/>
        <v>1.6E-2</v>
      </c>
      <c r="J67" s="6">
        <f t="shared" si="4"/>
        <v>6.5368094385109266E-2</v>
      </c>
      <c r="K67" s="7">
        <f t="shared" si="5"/>
        <v>8.2413983895271103E-2</v>
      </c>
    </row>
    <row r="68" spans="1:11" x14ac:dyDescent="0.25">
      <c r="A68">
        <v>20093</v>
      </c>
      <c r="B68" s="5">
        <v>1.7100000000000001E-2</v>
      </c>
      <c r="C68" s="6">
        <v>-3.4700000000000002E-2</v>
      </c>
      <c r="D68" s="7">
        <v>-1.7600000000000001E-2</v>
      </c>
      <c r="I68" s="5">
        <f t="shared" si="3"/>
        <v>1.7100000000000001E-2</v>
      </c>
      <c r="J68" s="6">
        <f t="shared" si="4"/>
        <v>-1.3898169737227915E-3</v>
      </c>
      <c r="K68" s="7">
        <f t="shared" si="5"/>
        <v>1.5686417156026478E-2</v>
      </c>
    </row>
    <row r="69" spans="1:11" x14ac:dyDescent="0.25">
      <c r="A69">
        <v>20092</v>
      </c>
      <c r="B69" s="5">
        <v>1.6299999999999999E-2</v>
      </c>
      <c r="C69" s="6">
        <v>-6.7699999999999996E-2</v>
      </c>
      <c r="D69" s="7">
        <v>-5.1400000000000001E-2</v>
      </c>
      <c r="I69" s="5">
        <f t="shared" si="3"/>
        <v>1.6299999999999999E-2</v>
      </c>
      <c r="J69" s="6">
        <f t="shared" si="4"/>
        <v>-4.6502610801459954E-2</v>
      </c>
      <c r="K69" s="7">
        <f t="shared" si="5"/>
        <v>-3.0960603357523708E-2</v>
      </c>
    </row>
    <row r="70" spans="1:11" x14ac:dyDescent="0.25">
      <c r="A70">
        <v>20091</v>
      </c>
      <c r="B70" s="5">
        <v>1.49E-2</v>
      </c>
      <c r="C70" s="6">
        <v>-8.8700000000000001E-2</v>
      </c>
      <c r="D70" s="7">
        <v>-7.3800000000000004E-2</v>
      </c>
      <c r="I70" s="5">
        <f t="shared" si="3"/>
        <v>1.49E-2</v>
      </c>
      <c r="J70" s="6">
        <f t="shared" si="4"/>
        <v>-7.0833629104087692E-2</v>
      </c>
      <c r="K70" s="7">
        <f t="shared" si="5"/>
        <v>-5.6989050177738587E-2</v>
      </c>
    </row>
    <row r="71" spans="1:11" x14ac:dyDescent="0.25">
      <c r="A71">
        <v>20084</v>
      </c>
      <c r="B71" s="5">
        <v>1.44E-2</v>
      </c>
      <c r="C71" s="6">
        <v>-0.10639999999999999</v>
      </c>
      <c r="D71" s="7">
        <v>-9.1999999999999998E-2</v>
      </c>
      <c r="I71" s="5">
        <f t="shared" ref="I71:I84" si="6">+B71</f>
        <v>1.44E-2</v>
      </c>
      <c r="J71" s="6">
        <f t="shared" ref="J71:J84" si="7">(C71-($C$2*C72))/(1-$C$2)</f>
        <v>-0.23540125426540082</v>
      </c>
      <c r="K71" s="7">
        <f t="shared" ref="K71:K84" si="8">(1+I71)*(1+J71)-1</f>
        <v>-0.22439103232682256</v>
      </c>
    </row>
    <row r="72" spans="1:11" x14ac:dyDescent="0.25">
      <c r="A72">
        <v>20083</v>
      </c>
      <c r="B72" s="5">
        <v>1.38E-2</v>
      </c>
      <c r="C72" s="6">
        <v>2.1399999999999999E-2</v>
      </c>
      <c r="D72" s="7">
        <v>3.5099999999999999E-2</v>
      </c>
      <c r="I72" s="5">
        <f t="shared" si="6"/>
        <v>1.38E-2</v>
      </c>
      <c r="J72" s="6">
        <f t="shared" si="7"/>
        <v>6.0463760094452361E-2</v>
      </c>
      <c r="K72" s="7">
        <f t="shared" si="8"/>
        <v>7.5098159983755908E-2</v>
      </c>
    </row>
    <row r="73" spans="1:11" x14ac:dyDescent="0.25">
      <c r="A73">
        <v>20082</v>
      </c>
      <c r="B73" s="5">
        <v>1.4E-2</v>
      </c>
      <c r="C73" s="6">
        <v>-1.7299999999999999E-2</v>
      </c>
      <c r="D73" s="7">
        <v>-3.3E-3</v>
      </c>
      <c r="I73" s="5">
        <f t="shared" si="6"/>
        <v>1.4E-2</v>
      </c>
      <c r="J73" s="6">
        <f t="shared" si="7"/>
        <v>-2.7696814702141068E-2</v>
      </c>
      <c r="K73" s="7">
        <f t="shared" si="8"/>
        <v>-1.4084570107971039E-2</v>
      </c>
    </row>
    <row r="74" spans="1:11" x14ac:dyDescent="0.25">
      <c r="A74">
        <v>20081</v>
      </c>
      <c r="B74" s="5">
        <v>1.37E-2</v>
      </c>
      <c r="C74" s="6">
        <v>-7.0000000000000001E-3</v>
      </c>
      <c r="D74" s="7">
        <v>6.7999999999999996E-3</v>
      </c>
      <c r="I74" s="5">
        <f t="shared" si="6"/>
        <v>1.37E-2</v>
      </c>
      <c r="J74" s="6">
        <f t="shared" si="7"/>
        <v>-1.5680835576544972E-2</v>
      </c>
      <c r="K74" s="7">
        <f t="shared" si="8"/>
        <v>-2.1956630239435837E-3</v>
      </c>
    </row>
    <row r="75" spans="1:11" x14ac:dyDescent="0.25">
      <c r="A75">
        <v>20074</v>
      </c>
      <c r="B75" s="5">
        <v>1.4999999999999999E-2</v>
      </c>
      <c r="C75" s="6">
        <v>1.6000000000000001E-3</v>
      </c>
      <c r="D75" s="7">
        <v>1.66E-2</v>
      </c>
      <c r="I75" s="5">
        <f t="shared" si="6"/>
        <v>1.4999999999999999E-2</v>
      </c>
      <c r="J75" s="6">
        <f t="shared" si="7"/>
        <v>-7.5855353193673529E-3</v>
      </c>
      <c r="K75" s="7">
        <f t="shared" si="8"/>
        <v>7.300681650842078E-3</v>
      </c>
    </row>
    <row r="76" spans="1:11" x14ac:dyDescent="0.25">
      <c r="A76">
        <v>20073</v>
      </c>
      <c r="B76" s="5">
        <v>1.4999999999999999E-2</v>
      </c>
      <c r="C76" s="6">
        <v>1.0699999999999999E-2</v>
      </c>
      <c r="D76" s="7">
        <v>2.5700000000000001E-2</v>
      </c>
      <c r="I76" s="5">
        <f t="shared" si="6"/>
        <v>1.4999999999999999E-2</v>
      </c>
      <c r="J76" s="6">
        <f t="shared" si="7"/>
        <v>3.634203600486649E-3</v>
      </c>
      <c r="K76" s="7">
        <f t="shared" si="8"/>
        <v>1.8688716654493787E-2</v>
      </c>
    </row>
    <row r="77" spans="1:11" x14ac:dyDescent="0.25">
      <c r="A77">
        <v>20072</v>
      </c>
      <c r="B77" s="5">
        <v>1.47E-2</v>
      </c>
      <c r="C77" s="6">
        <v>1.77E-2</v>
      </c>
      <c r="D77" s="7">
        <v>3.2399999999999998E-2</v>
      </c>
      <c r="I77" s="5">
        <f t="shared" si="6"/>
        <v>1.47E-2</v>
      </c>
      <c r="J77" s="6">
        <f t="shared" si="7"/>
        <v>-6.5430947347847713E-5</v>
      </c>
      <c r="K77" s="7">
        <f t="shared" si="8"/>
        <v>1.4633607217725997E-2</v>
      </c>
    </row>
    <row r="78" spans="1:11" x14ac:dyDescent="0.25">
      <c r="A78">
        <v>20071</v>
      </c>
      <c r="B78" s="5">
        <v>1.55E-2</v>
      </c>
      <c r="C78" s="6">
        <v>3.5299999999999998E-2</v>
      </c>
      <c r="D78" s="7">
        <v>5.0799999999999998E-2</v>
      </c>
      <c r="I78" s="5">
        <f t="shared" si="6"/>
        <v>1.55E-2</v>
      </c>
      <c r="J78" s="6">
        <f t="shared" si="7"/>
        <v>5.2863551050218886E-2</v>
      </c>
      <c r="K78" s="7">
        <f t="shared" si="8"/>
        <v>6.9182936091497282E-2</v>
      </c>
    </row>
    <row r="79" spans="1:11" x14ac:dyDescent="0.25">
      <c r="A79">
        <v>20064</v>
      </c>
      <c r="B79" s="5">
        <v>1.5800000000000002E-2</v>
      </c>
      <c r="C79" s="6">
        <v>1.7899999999999999E-2</v>
      </c>
      <c r="D79" s="7">
        <v>3.3700000000000001E-2</v>
      </c>
      <c r="I79" s="5">
        <f t="shared" si="6"/>
        <v>1.5800000000000002E-2</v>
      </c>
      <c r="J79" s="6">
        <f t="shared" si="7"/>
        <v>3.8491749507153179E-2</v>
      </c>
      <c r="K79" s="7">
        <f t="shared" si="8"/>
        <v>5.4899919149366427E-2</v>
      </c>
    </row>
    <row r="80" spans="1:11" x14ac:dyDescent="0.25">
      <c r="A80">
        <v>20063</v>
      </c>
      <c r="B80" s="5">
        <v>1.7999999999999999E-2</v>
      </c>
      <c r="C80" s="6">
        <v>-2.5000000000000001E-3</v>
      </c>
      <c r="D80" s="7">
        <v>1.54E-2</v>
      </c>
      <c r="I80" s="5">
        <f t="shared" si="6"/>
        <v>1.7999999999999999E-2</v>
      </c>
      <c r="J80" s="6">
        <f t="shared" si="7"/>
        <v>-4.2270339734403702E-2</v>
      </c>
      <c r="K80" s="7">
        <f t="shared" si="8"/>
        <v>-2.5031205849623039E-2</v>
      </c>
    </row>
    <row r="81" spans="1:11" x14ac:dyDescent="0.25">
      <c r="A81">
        <v>20062</v>
      </c>
      <c r="B81" s="5">
        <v>1.7500000000000002E-2</v>
      </c>
      <c r="C81" s="6">
        <v>3.6900000000000002E-2</v>
      </c>
      <c r="D81" s="7">
        <v>5.4399999999999997E-2</v>
      </c>
      <c r="I81" s="5">
        <f t="shared" si="6"/>
        <v>1.7500000000000002E-2</v>
      </c>
      <c r="J81" s="6">
        <f t="shared" si="7"/>
        <v>6.3548146421021773E-2</v>
      </c>
      <c r="K81" s="7">
        <f t="shared" si="8"/>
        <v>8.2160238983389755E-2</v>
      </c>
    </row>
    <row r="82" spans="1:11" x14ac:dyDescent="0.25">
      <c r="A82">
        <v>20061</v>
      </c>
      <c r="B82" s="5">
        <v>1.7500000000000002E-2</v>
      </c>
      <c r="C82" s="6">
        <v>1.0500000000000001E-2</v>
      </c>
      <c r="D82" s="7">
        <v>2.8000000000000001E-2</v>
      </c>
      <c r="I82" s="5">
        <f t="shared" si="6"/>
        <v>1.7500000000000002E-2</v>
      </c>
      <c r="J82" s="6">
        <f t="shared" si="7"/>
        <v>-1.5037806986812527E-2</v>
      </c>
      <c r="K82" s="7">
        <f t="shared" si="8"/>
        <v>2.1990313909183712E-3</v>
      </c>
    </row>
    <row r="83" spans="1:11" x14ac:dyDescent="0.25">
      <c r="A83">
        <v>20054</v>
      </c>
      <c r="B83" s="5">
        <v>1.7999999999999999E-2</v>
      </c>
      <c r="C83" s="6">
        <v>3.5799999999999998E-2</v>
      </c>
      <c r="D83" s="7">
        <v>5.3800000000000001E-2</v>
      </c>
      <c r="I83" s="5">
        <f t="shared" si="6"/>
        <v>1.7999999999999999E-2</v>
      </c>
      <c r="J83" s="6">
        <f t="shared" si="7"/>
        <v>2.964266313756694E-2</v>
      </c>
      <c r="K83" s="7">
        <f t="shared" si="8"/>
        <v>4.817623107404323E-2</v>
      </c>
    </row>
    <row r="84" spans="1:11" x14ac:dyDescent="0.25">
      <c r="A84">
        <v>20053</v>
      </c>
      <c r="B84" s="8">
        <v>1.9300000000000001E-2</v>
      </c>
      <c r="C84" s="9">
        <v>4.19E-2</v>
      </c>
      <c r="D84" s="10">
        <v>6.1100000000000002E-2</v>
      </c>
      <c r="I84" s="8">
        <f t="shared" si="6"/>
        <v>1.9300000000000001E-2</v>
      </c>
      <c r="J84" s="9">
        <f t="shared" si="7"/>
        <v>8.4193838448515607E-2</v>
      </c>
      <c r="K84" s="10">
        <f t="shared" si="8"/>
        <v>0.10511877953057214</v>
      </c>
    </row>
    <row r="85" spans="1:11" x14ac:dyDescent="0.25">
      <c r="I85" s="6"/>
      <c r="J85" s="6"/>
      <c r="K85" s="6"/>
    </row>
    <row r="86" spans="1:11" x14ac:dyDescent="0.25">
      <c r="I86" s="6"/>
      <c r="J86" s="6"/>
      <c r="K86" s="6"/>
    </row>
    <row r="87" spans="1:11" x14ac:dyDescent="0.25">
      <c r="I87" s="6"/>
      <c r="J87" s="6"/>
      <c r="K87" s="6"/>
    </row>
  </sheetData>
  <mergeCells count="8">
    <mergeCell ref="M3:N3"/>
    <mergeCell ref="M4:N4"/>
    <mergeCell ref="A1:B1"/>
    <mergeCell ref="A2:B2"/>
    <mergeCell ref="B5:D5"/>
    <mergeCell ref="F3:G3"/>
    <mergeCell ref="F4:G4"/>
    <mergeCell ref="I5:K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89"/>
  <sheetViews>
    <sheetView workbookViewId="0">
      <selection sqref="A1:B1"/>
    </sheetView>
  </sheetViews>
  <sheetFormatPr defaultRowHeight="15" x14ac:dyDescent="0.25"/>
  <cols>
    <col min="1" max="4" width="12.7109375" customWidth="1"/>
    <col min="5" max="5" width="4.7109375" customWidth="1"/>
    <col min="6" max="7" width="12.7109375" customWidth="1"/>
    <col min="8" max="8" width="4.7109375" customWidth="1"/>
    <col min="9" max="11" width="12.7109375" customWidth="1"/>
    <col min="12" max="12" width="4.7109375" customWidth="1"/>
    <col min="13" max="19" width="12.7109375" customWidth="1"/>
  </cols>
  <sheetData>
    <row r="1" spans="1:14" x14ac:dyDescent="0.25">
      <c r="A1" s="41" t="s">
        <v>17</v>
      </c>
      <c r="B1" s="40"/>
      <c r="C1" s="15" t="s">
        <v>12</v>
      </c>
    </row>
    <row r="2" spans="1:14" x14ac:dyDescent="0.25">
      <c r="A2" s="39" t="s">
        <v>18</v>
      </c>
      <c r="B2" s="40"/>
      <c r="C2" s="18">
        <f>CORREL(C7:C73,C9:C75)</f>
        <v>0.15681490130617495</v>
      </c>
    </row>
    <row r="3" spans="1:14" x14ac:dyDescent="0.25">
      <c r="F3" s="36" t="s">
        <v>1</v>
      </c>
      <c r="G3" s="35"/>
      <c r="M3" s="36" t="s">
        <v>2</v>
      </c>
      <c r="N3" s="35"/>
    </row>
    <row r="4" spans="1:14" x14ac:dyDescent="0.25">
      <c r="F4" s="37">
        <f>STDEV(D7:D75)*SQRT(4)</f>
        <v>4.9061735732070032E-2</v>
      </c>
      <c r="G4" s="38"/>
      <c r="M4" s="37">
        <f>STDEV(K7:K75)*SQRT(4)</f>
        <v>5.7766142908635097E-2</v>
      </c>
      <c r="N4" s="38"/>
    </row>
    <row r="5" spans="1:14" x14ac:dyDescent="0.25">
      <c r="B5" s="33" t="s">
        <v>20</v>
      </c>
      <c r="C5" s="34"/>
      <c r="D5" s="35"/>
      <c r="I5" s="33" t="s">
        <v>21</v>
      </c>
      <c r="J5" s="34"/>
      <c r="K5" s="35"/>
    </row>
    <row r="6" spans="1:14" x14ac:dyDescent="0.25">
      <c r="B6" s="2" t="s">
        <v>22</v>
      </c>
      <c r="C6" s="3" t="s">
        <v>23</v>
      </c>
      <c r="D6" s="4" t="s">
        <v>24</v>
      </c>
      <c r="I6" s="12" t="s">
        <v>22</v>
      </c>
      <c r="J6" s="13" t="s">
        <v>23</v>
      </c>
      <c r="K6" s="14" t="s">
        <v>24</v>
      </c>
      <c r="M6" s="29" cm="1">
        <f t="array" ref="M6">(PRODUCT(1 + K7:K86)^(1/20)) - 1</f>
        <v>5.0707538490091242E-2</v>
      </c>
    </row>
    <row r="7" spans="1:14" x14ac:dyDescent="0.25">
      <c r="A7">
        <v>20244</v>
      </c>
      <c r="B7" s="5">
        <v>1.3100000000000001E-2</v>
      </c>
      <c r="C7" s="6">
        <v>-8.0000000000000004E-4</v>
      </c>
      <c r="D7" s="7">
        <v>1.2200000000000001E-2</v>
      </c>
      <c r="I7" s="5">
        <f t="shared" ref="I7:I38" si="0">+B7</f>
        <v>1.3100000000000001E-2</v>
      </c>
      <c r="J7" s="6">
        <f t="shared" ref="J7:J38" si="1">(C7-($C$2*C8))/(1-$C$2)</f>
        <v>-1.6741023024253545E-3</v>
      </c>
      <c r="K7" s="7">
        <f t="shared" ref="K7:K38" si="2">(1+I7)*(1+J7)-1</f>
        <v>1.1403966957412859E-2</v>
      </c>
    </row>
    <row r="8" spans="1:14" x14ac:dyDescent="0.25">
      <c r="A8">
        <v>20243</v>
      </c>
      <c r="B8" s="5">
        <v>1.18E-2</v>
      </c>
      <c r="C8" s="6">
        <v>3.8999999999999998E-3</v>
      </c>
      <c r="D8" s="7">
        <v>1.5699999999999999E-2</v>
      </c>
      <c r="I8" s="5">
        <f t="shared" si="0"/>
        <v>1.18E-2</v>
      </c>
      <c r="J8" s="6">
        <f t="shared" si="1"/>
        <v>4.532329325158767E-3</v>
      </c>
      <c r="K8" s="7">
        <f t="shared" si="2"/>
        <v>1.6385810811195611E-2</v>
      </c>
    </row>
    <row r="9" spans="1:14" x14ac:dyDescent="0.25">
      <c r="A9">
        <v>20242</v>
      </c>
      <c r="B9" s="5">
        <v>1.29E-2</v>
      </c>
      <c r="C9" s="6">
        <v>5.0000000000000001E-4</v>
      </c>
      <c r="D9" s="7">
        <v>1.3299999999999999E-2</v>
      </c>
      <c r="I9" s="5">
        <f t="shared" si="0"/>
        <v>1.29E-2</v>
      </c>
      <c r="J9" s="6">
        <f t="shared" si="1"/>
        <v>1.597277358363743E-3</v>
      </c>
      <c r="K9" s="7">
        <f t="shared" si="2"/>
        <v>1.4517882236286583E-2</v>
      </c>
    </row>
    <row r="10" spans="1:14" x14ac:dyDescent="0.25">
      <c r="A10">
        <v>20241</v>
      </c>
      <c r="B10" s="5">
        <v>1.29E-2</v>
      </c>
      <c r="C10" s="6">
        <v>-5.4000000000000003E-3</v>
      </c>
      <c r="D10" s="7">
        <v>7.4999999999999997E-3</v>
      </c>
      <c r="I10" s="5">
        <f t="shared" si="0"/>
        <v>1.29E-2</v>
      </c>
      <c r="J10" s="6">
        <f t="shared" si="1"/>
        <v>-5.3256083146872042E-3</v>
      </c>
      <c r="K10" s="7">
        <f t="shared" si="2"/>
        <v>7.5056913380533441E-3</v>
      </c>
    </row>
    <row r="11" spans="1:14" x14ac:dyDescent="0.25">
      <c r="A11">
        <v>20234</v>
      </c>
      <c r="B11" s="5">
        <v>1.34E-2</v>
      </c>
      <c r="C11" s="6">
        <v>-5.7999999999999996E-3</v>
      </c>
      <c r="D11" s="7">
        <v>7.6E-3</v>
      </c>
      <c r="I11" s="5">
        <f t="shared" si="0"/>
        <v>1.34E-2</v>
      </c>
      <c r="J11" s="6">
        <f t="shared" si="1"/>
        <v>-5.2606602814822276E-3</v>
      </c>
      <c r="K11" s="7">
        <f t="shared" si="2"/>
        <v>8.0688468707459382E-3</v>
      </c>
    </row>
    <row r="12" spans="1:14" x14ac:dyDescent="0.25">
      <c r="A12">
        <v>20233</v>
      </c>
      <c r="B12" s="5">
        <v>1.0500000000000001E-2</v>
      </c>
      <c r="C12" s="6">
        <v>-8.6999999999999994E-3</v>
      </c>
      <c r="D12" s="7">
        <v>1.8E-3</v>
      </c>
      <c r="I12" s="5">
        <f t="shared" si="0"/>
        <v>1.0500000000000001E-2</v>
      </c>
      <c r="J12" s="6">
        <f t="shared" si="1"/>
        <v>-9.5741023024253531E-3</v>
      </c>
      <c r="K12" s="7">
        <f t="shared" si="2"/>
        <v>8.2536962339907483E-4</v>
      </c>
    </row>
    <row r="13" spans="1:14" x14ac:dyDescent="0.25">
      <c r="A13">
        <v>20232</v>
      </c>
      <c r="B13" s="5">
        <v>1.0999999999999999E-2</v>
      </c>
      <c r="C13" s="6">
        <v>-4.0000000000000001E-3</v>
      </c>
      <c r="D13" s="7">
        <v>7.0000000000000001E-3</v>
      </c>
      <c r="I13" s="5">
        <f t="shared" si="0"/>
        <v>1.0999999999999999E-2</v>
      </c>
      <c r="J13" s="6">
        <f t="shared" si="1"/>
        <v>-4.1301854492973933E-3</v>
      </c>
      <c r="K13" s="7">
        <f t="shared" si="2"/>
        <v>6.8243825107601186E-3</v>
      </c>
    </row>
    <row r="14" spans="1:14" x14ac:dyDescent="0.25">
      <c r="A14">
        <v>20231</v>
      </c>
      <c r="B14" s="5">
        <v>1.0999999999999999E-2</v>
      </c>
      <c r="C14" s="6">
        <v>-3.3E-3</v>
      </c>
      <c r="D14" s="7">
        <v>7.7999999999999996E-3</v>
      </c>
      <c r="I14" s="5">
        <f t="shared" si="0"/>
        <v>1.0999999999999999E-2</v>
      </c>
      <c r="J14" s="6">
        <f t="shared" si="1"/>
        <v>-1.2542286538981063E-3</v>
      </c>
      <c r="K14" s="7">
        <f t="shared" si="2"/>
        <v>9.7319748309088183E-3</v>
      </c>
    </row>
    <row r="15" spans="1:14" x14ac:dyDescent="0.25">
      <c r="A15">
        <v>20224</v>
      </c>
      <c r="B15" s="5">
        <v>1.09E-2</v>
      </c>
      <c r="C15" s="6">
        <v>-1.43E-2</v>
      </c>
      <c r="D15" s="7">
        <v>-3.3999999999999998E-3</v>
      </c>
      <c r="I15" s="5">
        <f t="shared" si="0"/>
        <v>1.09E-2</v>
      </c>
      <c r="J15" s="6">
        <f t="shared" si="1"/>
        <v>-1.7759213367045019E-2</v>
      </c>
      <c r="K15" s="7">
        <f t="shared" si="2"/>
        <v>-7.0527887927458455E-3</v>
      </c>
    </row>
    <row r="16" spans="1:14" x14ac:dyDescent="0.25">
      <c r="A16">
        <v>20223</v>
      </c>
      <c r="B16" s="5">
        <v>9.5999999999999992E-3</v>
      </c>
      <c r="C16" s="6">
        <v>4.3E-3</v>
      </c>
      <c r="D16" s="7">
        <v>1.38E-2</v>
      </c>
      <c r="I16" s="5">
        <f t="shared" si="0"/>
        <v>9.5999999999999992E-3</v>
      </c>
      <c r="J16" s="6">
        <f t="shared" si="1"/>
        <v>-4.796657813471512E-4</v>
      </c>
      <c r="K16" s="7">
        <f t="shared" si="2"/>
        <v>9.1157294271519973E-3</v>
      </c>
    </row>
    <row r="17" spans="1:11" x14ac:dyDescent="0.25">
      <c r="A17">
        <v>20222</v>
      </c>
      <c r="B17" s="5">
        <v>1.09E-2</v>
      </c>
      <c r="C17" s="6">
        <v>0.03</v>
      </c>
      <c r="D17" s="7">
        <v>4.0899999999999999E-2</v>
      </c>
      <c r="I17" s="5">
        <f t="shared" si="0"/>
        <v>1.09E-2</v>
      </c>
      <c r="J17" s="6">
        <f t="shared" si="1"/>
        <v>2.8121609945851896E-2</v>
      </c>
      <c r="K17" s="7">
        <f t="shared" si="2"/>
        <v>3.9328135494261618E-2</v>
      </c>
    </row>
    <row r="18" spans="1:11" x14ac:dyDescent="0.25">
      <c r="A18">
        <v>20221</v>
      </c>
      <c r="B18" s="5">
        <v>1.2200000000000001E-2</v>
      </c>
      <c r="C18" s="6">
        <v>4.0099999999999997E-2</v>
      </c>
      <c r="D18" s="7">
        <v>5.2299999999999999E-2</v>
      </c>
      <c r="I18" s="5">
        <f t="shared" si="0"/>
        <v>1.2200000000000001E-2</v>
      </c>
      <c r="J18" s="6">
        <f t="shared" si="1"/>
        <v>4.2331750559383874E-2</v>
      </c>
      <c r="K18" s="7">
        <f t="shared" si="2"/>
        <v>5.5048197916208297E-2</v>
      </c>
    </row>
    <row r="19" spans="1:11" x14ac:dyDescent="0.25">
      <c r="A19">
        <v>20214</v>
      </c>
      <c r="B19" s="5">
        <v>1.2800000000000001E-2</v>
      </c>
      <c r="C19" s="6">
        <v>2.81E-2</v>
      </c>
      <c r="D19" s="7">
        <v>4.0800000000000003E-2</v>
      </c>
      <c r="I19" s="5">
        <f t="shared" si="0"/>
        <v>1.2800000000000001E-2</v>
      </c>
      <c r="J19" s="6">
        <f t="shared" si="1"/>
        <v>3.0164369267430092E-2</v>
      </c>
      <c r="K19" s="7">
        <f t="shared" si="2"/>
        <v>4.3350473194053052E-2</v>
      </c>
    </row>
    <row r="20" spans="1:11" x14ac:dyDescent="0.25">
      <c r="A20">
        <v>20213</v>
      </c>
      <c r="B20" s="5">
        <v>9.7000000000000003E-3</v>
      </c>
      <c r="C20" s="6">
        <v>1.7000000000000001E-2</v>
      </c>
      <c r="D20" s="7">
        <v>2.6700000000000002E-2</v>
      </c>
      <c r="I20" s="5">
        <f t="shared" si="0"/>
        <v>9.7000000000000003E-3</v>
      </c>
      <c r="J20" s="6">
        <f t="shared" si="1"/>
        <v>1.8915585896804501E-2</v>
      </c>
      <c r="K20" s="7">
        <f t="shared" si="2"/>
        <v>2.8799067080003571E-2</v>
      </c>
    </row>
    <row r="21" spans="1:11" x14ac:dyDescent="0.25">
      <c r="A21">
        <v>20212</v>
      </c>
      <c r="B21" s="5">
        <v>1.03E-2</v>
      </c>
      <c r="C21" s="6">
        <v>6.7000000000000002E-3</v>
      </c>
      <c r="D21" s="7">
        <v>1.7000000000000001E-2</v>
      </c>
      <c r="I21" s="5">
        <f t="shared" si="0"/>
        <v>1.03E-2</v>
      </c>
      <c r="J21" s="6">
        <f t="shared" si="1"/>
        <v>9.0619360086812775E-3</v>
      </c>
      <c r="K21" s="7">
        <f t="shared" si="2"/>
        <v>1.9455273949570584E-2</v>
      </c>
    </row>
    <row r="22" spans="1:11" x14ac:dyDescent="0.25">
      <c r="A22">
        <v>20211</v>
      </c>
      <c r="B22" s="5">
        <v>1.15E-2</v>
      </c>
      <c r="C22" s="6">
        <v>-6.0000000000000001E-3</v>
      </c>
      <c r="D22" s="7">
        <v>5.4999999999999997E-3</v>
      </c>
      <c r="I22" s="5">
        <f t="shared" si="0"/>
        <v>1.15E-2</v>
      </c>
      <c r="J22" s="6">
        <f t="shared" si="1"/>
        <v>-7.5994212342251162E-3</v>
      </c>
      <c r="K22" s="7">
        <f t="shared" si="2"/>
        <v>3.8131854215814887E-3</v>
      </c>
    </row>
    <row r="23" spans="1:11" x14ac:dyDescent="0.25">
      <c r="A23">
        <v>20204</v>
      </c>
      <c r="B23" s="5">
        <v>1.0500000000000001E-2</v>
      </c>
      <c r="C23" s="6">
        <v>2.5999999999999999E-3</v>
      </c>
      <c r="D23" s="7">
        <v>1.3100000000000001E-2</v>
      </c>
      <c r="I23" s="5">
        <f t="shared" si="0"/>
        <v>1.0500000000000001E-2</v>
      </c>
      <c r="J23" s="6">
        <f t="shared" si="1"/>
        <v>4.2738129195379129E-3</v>
      </c>
      <c r="K23" s="7">
        <f t="shared" si="2"/>
        <v>1.4818687955193033E-2</v>
      </c>
    </row>
    <row r="24" spans="1:11" x14ac:dyDescent="0.25">
      <c r="A24">
        <v>20203</v>
      </c>
      <c r="B24" s="5">
        <v>8.3999999999999995E-3</v>
      </c>
      <c r="C24" s="6">
        <v>-6.4000000000000003E-3</v>
      </c>
      <c r="D24" s="7">
        <v>2E-3</v>
      </c>
      <c r="I24" s="5">
        <f t="shared" si="0"/>
        <v>8.3999999999999995E-3</v>
      </c>
      <c r="J24" s="6">
        <f t="shared" si="1"/>
        <v>-6.3442062360154032E-3</v>
      </c>
      <c r="K24" s="7">
        <f t="shared" si="2"/>
        <v>2.002502431601938E-3</v>
      </c>
    </row>
    <row r="25" spans="1:11" x14ac:dyDescent="0.25">
      <c r="A25">
        <v>20202</v>
      </c>
      <c r="B25" s="5">
        <v>1.1900000000000001E-2</v>
      </c>
      <c r="C25" s="6">
        <v>-6.7000000000000002E-3</v>
      </c>
      <c r="D25" s="7">
        <v>5.1999999999999998E-3</v>
      </c>
      <c r="I25" s="5">
        <f t="shared" si="0"/>
        <v>1.1900000000000001E-2</v>
      </c>
      <c r="J25" s="6">
        <f t="shared" si="1"/>
        <v>-7.109154269220379E-3</v>
      </c>
      <c r="K25" s="7">
        <f t="shared" si="2"/>
        <v>4.7062467949758879E-3</v>
      </c>
    </row>
    <row r="26" spans="1:11" x14ac:dyDescent="0.25">
      <c r="A26">
        <v>20201</v>
      </c>
      <c r="B26" s="5">
        <v>1.3100000000000001E-2</v>
      </c>
      <c r="C26" s="6">
        <v>-4.4999999999999997E-3</v>
      </c>
      <c r="D26" s="7">
        <v>8.6E-3</v>
      </c>
      <c r="I26" s="5">
        <f t="shared" si="0"/>
        <v>1.3100000000000001E-2</v>
      </c>
      <c r="J26" s="6">
        <f t="shared" si="1"/>
        <v>-5.2253189317997611E-3</v>
      </c>
      <c r="K26" s="7">
        <f t="shared" si="2"/>
        <v>7.8062293901937085E-3</v>
      </c>
    </row>
    <row r="27" spans="1:11" x14ac:dyDescent="0.25">
      <c r="A27">
        <v>20194</v>
      </c>
      <c r="B27" s="5">
        <v>1.24E-2</v>
      </c>
      <c r="C27" s="6">
        <v>-5.9999999999999995E-4</v>
      </c>
      <c r="D27" s="7">
        <v>1.17E-2</v>
      </c>
      <c r="I27" s="5">
        <f t="shared" si="0"/>
        <v>1.24E-2</v>
      </c>
      <c r="J27" s="6">
        <f t="shared" si="1"/>
        <v>-3.5822702273341251E-4</v>
      </c>
      <c r="K27" s="7">
        <f t="shared" si="2"/>
        <v>1.2037330962184623E-2</v>
      </c>
    </row>
    <row r="28" spans="1:11" x14ac:dyDescent="0.25">
      <c r="A28">
        <v>20193</v>
      </c>
      <c r="B28" s="5">
        <v>1.0699999999999999E-2</v>
      </c>
      <c r="C28" s="6">
        <v>-1.9E-3</v>
      </c>
      <c r="D28" s="7">
        <v>8.8000000000000005E-3</v>
      </c>
      <c r="I28" s="5">
        <f t="shared" si="0"/>
        <v>1.0699999999999999E-2</v>
      </c>
      <c r="J28" s="6">
        <f t="shared" si="1"/>
        <v>-3.2576482569585292E-3</v>
      </c>
      <c r="K28" s="7">
        <f t="shared" si="2"/>
        <v>7.4074949066920137E-3</v>
      </c>
    </row>
    <row r="29" spans="1:11" x14ac:dyDescent="0.25">
      <c r="A29">
        <v>20192</v>
      </c>
      <c r="B29" s="5">
        <v>1.26E-2</v>
      </c>
      <c r="C29" s="6">
        <v>5.4000000000000003E-3</v>
      </c>
      <c r="D29" s="7">
        <v>1.7899999999999999E-2</v>
      </c>
      <c r="I29" s="5">
        <f t="shared" si="0"/>
        <v>1.26E-2</v>
      </c>
      <c r="J29" s="6">
        <f t="shared" si="1"/>
        <v>4.711876910856636E-3</v>
      </c>
      <c r="K29" s="7">
        <f t="shared" si="2"/>
        <v>1.7371246559933384E-2</v>
      </c>
    </row>
    <row r="30" spans="1:11" x14ac:dyDescent="0.25">
      <c r="A30">
        <v>20191</v>
      </c>
      <c r="B30" s="5">
        <v>1.35E-2</v>
      </c>
      <c r="C30" s="6">
        <v>9.1000000000000004E-3</v>
      </c>
      <c r="D30" s="7">
        <v>2.2700000000000001E-2</v>
      </c>
      <c r="I30" s="5">
        <f t="shared" si="0"/>
        <v>1.35E-2</v>
      </c>
      <c r="J30" s="6">
        <f t="shared" si="1"/>
        <v>1.0290266965004739E-2</v>
      </c>
      <c r="K30" s="7">
        <f t="shared" si="2"/>
        <v>2.392918556903223E-2</v>
      </c>
    </row>
    <row r="31" spans="1:11" x14ac:dyDescent="0.25">
      <c r="A31">
        <v>20184</v>
      </c>
      <c r="B31" s="5">
        <v>1.32E-2</v>
      </c>
      <c r="C31" s="6">
        <v>2.7000000000000001E-3</v>
      </c>
      <c r="D31" s="7">
        <v>1.5900000000000001E-2</v>
      </c>
      <c r="I31" s="5">
        <f t="shared" si="0"/>
        <v>1.32E-2</v>
      </c>
      <c r="J31" s="6">
        <f t="shared" si="1"/>
        <v>3.741483594379146E-3</v>
      </c>
      <c r="K31" s="7">
        <f t="shared" si="2"/>
        <v>1.6990871177825051E-2</v>
      </c>
    </row>
    <row r="32" spans="1:11" x14ac:dyDescent="0.25">
      <c r="A32">
        <v>20183</v>
      </c>
      <c r="B32" s="5">
        <v>1.12E-2</v>
      </c>
      <c r="C32" s="6">
        <v>-2.8999999999999998E-3</v>
      </c>
      <c r="D32" s="7">
        <v>8.3000000000000001E-3</v>
      </c>
      <c r="I32" s="5">
        <f t="shared" si="0"/>
        <v>1.12E-2</v>
      </c>
      <c r="J32" s="6">
        <f t="shared" si="1"/>
        <v>-3.6625147744561602E-3</v>
      </c>
      <c r="K32" s="7">
        <f t="shared" si="2"/>
        <v>7.4964650600701788E-3</v>
      </c>
    </row>
    <row r="33" spans="1:11" x14ac:dyDescent="0.25">
      <c r="A33">
        <v>20182</v>
      </c>
      <c r="B33" s="5">
        <v>1.35E-2</v>
      </c>
      <c r="C33" s="6">
        <v>1.1999999999999999E-3</v>
      </c>
      <c r="D33" s="7">
        <v>1.46E-2</v>
      </c>
      <c r="I33" s="5">
        <f t="shared" si="0"/>
        <v>1.35E-2</v>
      </c>
      <c r="J33" s="6">
        <f t="shared" si="1"/>
        <v>-5.11008762194311E-4</v>
      </c>
      <c r="K33" s="7">
        <f t="shared" si="2"/>
        <v>1.2982092619516106E-2</v>
      </c>
    </row>
    <row r="34" spans="1:11" x14ac:dyDescent="0.25">
      <c r="A34">
        <v>20181</v>
      </c>
      <c r="B34" s="5">
        <v>1.41E-2</v>
      </c>
      <c r="C34" s="6">
        <v>1.04E-2</v>
      </c>
      <c r="D34" s="7">
        <v>2.4500000000000001E-2</v>
      </c>
      <c r="I34" s="5">
        <f t="shared" si="0"/>
        <v>1.41E-2</v>
      </c>
      <c r="J34" s="6">
        <f t="shared" si="1"/>
        <v>1.1218308538440757E-2</v>
      </c>
      <c r="K34" s="7">
        <f t="shared" si="2"/>
        <v>2.5476486688832845E-2</v>
      </c>
    </row>
    <row r="35" spans="1:11" x14ac:dyDescent="0.25">
      <c r="A35">
        <v>20174</v>
      </c>
      <c r="B35" s="5">
        <v>1.41E-2</v>
      </c>
      <c r="C35" s="6">
        <v>6.0000000000000001E-3</v>
      </c>
      <c r="D35" s="7">
        <v>2.01E-2</v>
      </c>
      <c r="I35" s="5">
        <f t="shared" si="0"/>
        <v>1.41E-2</v>
      </c>
      <c r="J35" s="6">
        <f t="shared" si="1"/>
        <v>6.985689830394548E-3</v>
      </c>
      <c r="K35" s="7">
        <f t="shared" si="2"/>
        <v>2.1184188057003173E-2</v>
      </c>
    </row>
    <row r="36" spans="1:11" x14ac:dyDescent="0.25">
      <c r="A36">
        <v>20173</v>
      </c>
      <c r="B36" s="5">
        <v>1.18E-2</v>
      </c>
      <c r="C36" s="6">
        <v>6.9999999999999999E-4</v>
      </c>
      <c r="D36" s="7">
        <v>1.2500000000000001E-2</v>
      </c>
      <c r="I36" s="5">
        <f t="shared" si="0"/>
        <v>1.18E-2</v>
      </c>
      <c r="J36" s="6">
        <f t="shared" si="1"/>
        <v>4.9072753513033863E-5</v>
      </c>
      <c r="K36" s="7">
        <f t="shared" si="2"/>
        <v>1.1849651812004369E-2</v>
      </c>
    </row>
    <row r="37" spans="1:11" x14ac:dyDescent="0.25">
      <c r="A37">
        <v>20172</v>
      </c>
      <c r="B37" s="5">
        <v>1.3899999999999999E-2</v>
      </c>
      <c r="C37" s="6">
        <v>4.1999999999999997E-3</v>
      </c>
      <c r="D37" s="7">
        <v>1.8200000000000001E-2</v>
      </c>
      <c r="I37" s="5">
        <f t="shared" si="0"/>
        <v>1.3899999999999999E-2</v>
      </c>
      <c r="J37" s="6">
        <f t="shared" si="1"/>
        <v>5.1670919090663486E-3</v>
      </c>
      <c r="K37" s="7">
        <f t="shared" si="2"/>
        <v>1.9138914486602321E-2</v>
      </c>
    </row>
    <row r="38" spans="1:11" x14ac:dyDescent="0.25">
      <c r="A38">
        <v>20171</v>
      </c>
      <c r="B38" s="5">
        <v>1.44E-2</v>
      </c>
      <c r="C38" s="6">
        <v>-1E-3</v>
      </c>
      <c r="D38" s="7">
        <v>1.35E-2</v>
      </c>
      <c r="I38" s="5">
        <f t="shared" si="0"/>
        <v>1.44E-2</v>
      </c>
      <c r="J38" s="6">
        <f t="shared" si="1"/>
        <v>-1.3719584265639807E-3</v>
      </c>
      <c r="K38" s="7">
        <f t="shared" si="2"/>
        <v>1.300828537209342E-2</v>
      </c>
    </row>
    <row r="39" spans="1:11" x14ac:dyDescent="0.25">
      <c r="A39">
        <v>20164</v>
      </c>
      <c r="B39" s="5">
        <v>1.5800000000000002E-2</v>
      </c>
      <c r="C39" s="6">
        <v>1E-3</v>
      </c>
      <c r="D39" s="7">
        <v>1.6799999999999999E-2</v>
      </c>
      <c r="I39" s="5">
        <f t="shared" ref="I39:I75" si="3">+B39</f>
        <v>1.5800000000000002E-2</v>
      </c>
      <c r="J39" s="6">
        <f t="shared" ref="J39:J75" si="4">(C39-($C$2*C40))/(1-$C$2)</f>
        <v>1.669525167815165E-3</v>
      </c>
      <c r="K39" s="7">
        <f t="shared" ref="K39:K70" si="5">(1+I39)*(1+J39)-1</f>
        <v>1.7495903665466717E-2</v>
      </c>
    </row>
    <row r="40" spans="1:11" x14ac:dyDescent="0.25">
      <c r="A40">
        <v>20163</v>
      </c>
      <c r="B40" s="5">
        <v>1.26E-2</v>
      </c>
      <c r="C40" s="6">
        <v>-2.5999999999999999E-3</v>
      </c>
      <c r="D40" s="7">
        <v>0.01</v>
      </c>
      <c r="I40" s="5">
        <f t="shared" si="3"/>
        <v>1.26E-2</v>
      </c>
      <c r="J40" s="6">
        <f t="shared" si="4"/>
        <v>-1.0039168531279613E-2</v>
      </c>
      <c r="K40" s="7">
        <f t="shared" si="5"/>
        <v>2.4343379452262948E-3</v>
      </c>
    </row>
    <row r="41" spans="1:11" x14ac:dyDescent="0.25">
      <c r="A41">
        <v>20162</v>
      </c>
      <c r="B41" s="5">
        <v>1.4999999999999999E-2</v>
      </c>
      <c r="C41" s="6">
        <v>3.7400000000000003E-2</v>
      </c>
      <c r="D41" s="7">
        <v>5.2499999999999998E-2</v>
      </c>
      <c r="I41" s="5">
        <f t="shared" si="3"/>
        <v>1.4999999999999999E-2</v>
      </c>
      <c r="J41" s="6">
        <f t="shared" si="4"/>
        <v>4.193789280408057E-2</v>
      </c>
      <c r="K41" s="7">
        <f t="shared" si="5"/>
        <v>5.7566961196141575E-2</v>
      </c>
    </row>
    <row r="42" spans="1:11" x14ac:dyDescent="0.25">
      <c r="A42">
        <v>20161</v>
      </c>
      <c r="B42" s="5">
        <v>1.4999999999999999E-2</v>
      </c>
      <c r="C42" s="6">
        <v>1.2999999999999999E-2</v>
      </c>
      <c r="D42" s="7">
        <v>2.8000000000000001E-2</v>
      </c>
      <c r="I42" s="5">
        <f t="shared" si="3"/>
        <v>1.4999999999999999E-2</v>
      </c>
      <c r="J42" s="6">
        <f t="shared" si="4"/>
        <v>1.4803998368835305E-2</v>
      </c>
      <c r="K42" s="7">
        <f t="shared" si="5"/>
        <v>3.0026058344367668E-2</v>
      </c>
    </row>
    <row r="43" spans="1:11" x14ac:dyDescent="0.25">
      <c r="A43">
        <v>20154</v>
      </c>
      <c r="B43" s="5">
        <v>1.4200000000000001E-2</v>
      </c>
      <c r="C43" s="6">
        <v>3.3E-3</v>
      </c>
      <c r="D43" s="7">
        <v>1.7600000000000001E-2</v>
      </c>
      <c r="I43" s="5">
        <f t="shared" si="3"/>
        <v>1.4200000000000001E-2</v>
      </c>
      <c r="J43" s="6">
        <f t="shared" si="4"/>
        <v>3.1884124720308053E-3</v>
      </c>
      <c r="K43" s="7">
        <f t="shared" si="5"/>
        <v>1.7433687929133468E-2</v>
      </c>
    </row>
    <row r="44" spans="1:11" x14ac:dyDescent="0.25">
      <c r="A44">
        <v>20153</v>
      </c>
      <c r="B44" s="5">
        <v>1.1299999999999999E-2</v>
      </c>
      <c r="C44" s="6">
        <v>3.8999999999999998E-3</v>
      </c>
      <c r="D44" s="7">
        <v>1.5299999999999999E-2</v>
      </c>
      <c r="I44" s="5">
        <f t="shared" si="3"/>
        <v>1.1299999999999999E-2</v>
      </c>
      <c r="J44" s="6">
        <f t="shared" si="4"/>
        <v>-1.9154269220378691E-4</v>
      </c>
      <c r="K44" s="7">
        <f t="shared" si="5"/>
        <v>1.1106292875374457E-2</v>
      </c>
    </row>
    <row r="45" spans="1:11" x14ac:dyDescent="0.25">
      <c r="A45">
        <v>20152</v>
      </c>
      <c r="B45" s="5">
        <v>1.43E-2</v>
      </c>
      <c r="C45" s="6">
        <v>2.5899999999999999E-2</v>
      </c>
      <c r="D45" s="7">
        <v>4.02E-2</v>
      </c>
      <c r="I45" s="5">
        <f t="shared" si="3"/>
        <v>1.43E-2</v>
      </c>
      <c r="J45" s="6">
        <f t="shared" si="4"/>
        <v>3.0679665781347152E-2</v>
      </c>
      <c r="K45" s="7">
        <f t="shared" si="5"/>
        <v>4.5418385002020223E-2</v>
      </c>
    </row>
    <row r="46" spans="1:11" x14ac:dyDescent="0.25">
      <c r="A46">
        <v>20151</v>
      </c>
      <c r="B46" s="5">
        <v>1.38E-2</v>
      </c>
      <c r="C46" s="6">
        <v>2.0000000000000001E-4</v>
      </c>
      <c r="D46" s="7">
        <v>1.4E-2</v>
      </c>
      <c r="I46" s="5">
        <f t="shared" si="3"/>
        <v>1.38E-2</v>
      </c>
      <c r="J46" s="6">
        <f t="shared" si="4"/>
        <v>1.6280415734360194E-4</v>
      </c>
      <c r="K46" s="7">
        <f t="shared" si="5"/>
        <v>1.3965050854714889E-2</v>
      </c>
    </row>
    <row r="47" spans="1:11" x14ac:dyDescent="0.25">
      <c r="A47">
        <v>20144</v>
      </c>
      <c r="B47" s="5">
        <v>1.2999999999999999E-2</v>
      </c>
      <c r="C47" s="6">
        <v>4.0000000000000002E-4</v>
      </c>
      <c r="D47" s="7">
        <v>1.34E-2</v>
      </c>
      <c r="I47" s="5">
        <f t="shared" si="3"/>
        <v>1.2999999999999999E-2</v>
      </c>
      <c r="J47" s="6">
        <f t="shared" si="4"/>
        <v>7.3476258390758257E-4</v>
      </c>
      <c r="K47" s="7">
        <f t="shared" si="5"/>
        <v>1.3744314497498245E-2</v>
      </c>
    </row>
    <row r="48" spans="1:11" x14ac:dyDescent="0.25">
      <c r="A48">
        <v>20143</v>
      </c>
      <c r="B48" s="5">
        <v>1.04E-2</v>
      </c>
      <c r="C48" s="6">
        <v>-1.4E-3</v>
      </c>
      <c r="D48" s="7">
        <v>8.9999999999999993E-3</v>
      </c>
      <c r="I48" s="5">
        <f t="shared" si="3"/>
        <v>1.04E-2</v>
      </c>
      <c r="J48" s="6">
        <f t="shared" si="4"/>
        <v>-1.0094436521078203E-3</v>
      </c>
      <c r="K48" s="7">
        <f t="shared" si="5"/>
        <v>9.3800581339100741E-3</v>
      </c>
    </row>
    <row r="49" spans="1:11" x14ac:dyDescent="0.25">
      <c r="A49">
        <v>20142</v>
      </c>
      <c r="B49" s="5">
        <v>1.5100000000000001E-2</v>
      </c>
      <c r="C49" s="6">
        <v>-3.5000000000000001E-3</v>
      </c>
      <c r="D49" s="7">
        <v>1.1599999999999999E-2</v>
      </c>
      <c r="I49" s="5">
        <f t="shared" si="3"/>
        <v>1.5100000000000001E-2</v>
      </c>
      <c r="J49" s="6">
        <f t="shared" si="4"/>
        <v>-2.3283309563234609E-3</v>
      </c>
      <c r="K49" s="7">
        <f t="shared" si="5"/>
        <v>1.2736511246235871E-2</v>
      </c>
    </row>
    <row r="50" spans="1:11" x14ac:dyDescent="0.25">
      <c r="A50">
        <v>20141</v>
      </c>
      <c r="B50" s="5">
        <v>1.4999999999999999E-2</v>
      </c>
      <c r="C50" s="6">
        <v>-9.7999999999999997E-3</v>
      </c>
      <c r="D50" s="7">
        <v>5.1999999999999998E-3</v>
      </c>
      <c r="I50" s="5">
        <f t="shared" si="3"/>
        <v>1.4999999999999999E-2</v>
      </c>
      <c r="J50" s="6">
        <f t="shared" si="4"/>
        <v>-1.5044613814552127E-2</v>
      </c>
      <c r="K50" s="7">
        <f t="shared" si="5"/>
        <v>-2.702830217704566E-4</v>
      </c>
    </row>
    <row r="51" spans="1:11" x14ac:dyDescent="0.25">
      <c r="A51">
        <v>20134</v>
      </c>
      <c r="B51" s="5">
        <v>1.5599999999999999E-2</v>
      </c>
      <c r="C51" s="6">
        <v>1.84E-2</v>
      </c>
      <c r="D51" s="7">
        <v>3.39E-2</v>
      </c>
      <c r="I51" s="5">
        <f t="shared" si="3"/>
        <v>1.5599999999999999E-2</v>
      </c>
      <c r="J51" s="6">
        <f t="shared" si="4"/>
        <v>2.0631750559383884E-2</v>
      </c>
      <c r="K51" s="7">
        <f t="shared" si="5"/>
        <v>3.6553605868110184E-2</v>
      </c>
    </row>
    <row r="52" spans="1:11" x14ac:dyDescent="0.25">
      <c r="A52">
        <v>20133</v>
      </c>
      <c r="B52" s="5">
        <v>1.18E-2</v>
      </c>
      <c r="C52" s="6">
        <v>6.4000000000000003E-3</v>
      </c>
      <c r="D52" s="7">
        <v>1.8200000000000001E-2</v>
      </c>
      <c r="I52" s="5">
        <f t="shared" si="3"/>
        <v>1.18E-2</v>
      </c>
      <c r="J52" s="6">
        <f t="shared" si="4"/>
        <v>5.8978561241386264E-3</v>
      </c>
      <c r="K52" s="7">
        <f t="shared" si="5"/>
        <v>1.776745082640363E-2</v>
      </c>
    </row>
    <row r="53" spans="1:11" x14ac:dyDescent="0.25">
      <c r="A53">
        <v>20132</v>
      </c>
      <c r="B53" s="5">
        <v>1.43E-2</v>
      </c>
      <c r="C53" s="6">
        <v>9.1000000000000004E-3</v>
      </c>
      <c r="D53" s="7">
        <v>2.3400000000000001E-2</v>
      </c>
      <c r="I53" s="5">
        <f t="shared" si="3"/>
        <v>1.43E-2</v>
      </c>
      <c r="J53" s="6">
        <f t="shared" si="4"/>
        <v>1.0085689830394548E-2</v>
      </c>
      <c r="K53" s="7">
        <f t="shared" si="5"/>
        <v>2.4529915194969165E-2</v>
      </c>
    </row>
    <row r="54" spans="1:11" x14ac:dyDescent="0.25">
      <c r="A54">
        <v>20131</v>
      </c>
      <c r="B54" s="5">
        <v>1.61E-2</v>
      </c>
      <c r="C54" s="6">
        <v>3.8E-3</v>
      </c>
      <c r="D54" s="7">
        <v>1.9900000000000001E-2</v>
      </c>
      <c r="I54" s="5">
        <f t="shared" si="3"/>
        <v>1.61E-2</v>
      </c>
      <c r="J54" s="6">
        <f t="shared" si="4"/>
        <v>2.9072997762464459E-3</v>
      </c>
      <c r="K54" s="7">
        <f t="shared" si="5"/>
        <v>1.9054107302644008E-2</v>
      </c>
    </row>
    <row r="55" spans="1:11" x14ac:dyDescent="0.25">
      <c r="A55">
        <v>20124</v>
      </c>
      <c r="B55" s="5">
        <v>1.5100000000000001E-2</v>
      </c>
      <c r="C55" s="6">
        <v>8.6E-3</v>
      </c>
      <c r="D55" s="7">
        <v>2.3800000000000002E-2</v>
      </c>
      <c r="I55" s="5">
        <f t="shared" si="3"/>
        <v>1.5100000000000001E-2</v>
      </c>
      <c r="J55" s="6">
        <f t="shared" si="4"/>
        <v>3.4669737134170667E-3</v>
      </c>
      <c r="K55" s="7">
        <f t="shared" si="5"/>
        <v>1.8619325016489441E-2</v>
      </c>
    </row>
    <row r="56" spans="1:11" x14ac:dyDescent="0.25">
      <c r="A56">
        <v>20123</v>
      </c>
      <c r="B56" s="5">
        <v>1.4E-2</v>
      </c>
      <c r="C56" s="6">
        <v>3.6200000000000003E-2</v>
      </c>
      <c r="D56" s="7">
        <v>5.0200000000000002E-2</v>
      </c>
      <c r="I56" s="5">
        <f t="shared" si="3"/>
        <v>1.4E-2</v>
      </c>
      <c r="J56" s="6">
        <f t="shared" si="4"/>
        <v>4.1463211735880329E-2</v>
      </c>
      <c r="K56" s="7">
        <f t="shared" si="5"/>
        <v>5.6043696700182721E-2</v>
      </c>
    </row>
    <row r="57" spans="1:11" x14ac:dyDescent="0.25">
      <c r="A57">
        <v>20122</v>
      </c>
      <c r="B57" s="5">
        <v>1.66E-2</v>
      </c>
      <c r="C57" s="6">
        <v>7.9000000000000008E-3</v>
      </c>
      <c r="D57" s="7">
        <v>2.4500000000000001E-2</v>
      </c>
      <c r="I57" s="5">
        <f t="shared" si="3"/>
        <v>1.66E-2</v>
      </c>
      <c r="J57" s="6">
        <f t="shared" si="4"/>
        <v>3.9572406784218056E-3</v>
      </c>
      <c r="K57" s="7">
        <f t="shared" si="5"/>
        <v>2.0622930873683609E-2</v>
      </c>
    </row>
    <row r="58" spans="1:11" x14ac:dyDescent="0.25">
      <c r="A58">
        <v>20121</v>
      </c>
      <c r="B58" s="5">
        <v>1.7100000000000001E-2</v>
      </c>
      <c r="C58" s="6">
        <v>2.9100000000000001E-2</v>
      </c>
      <c r="D58" s="7">
        <v>4.6199999999999998E-2</v>
      </c>
      <c r="I58" s="5">
        <f t="shared" si="3"/>
        <v>1.7100000000000001E-2</v>
      </c>
      <c r="J58" s="6">
        <f t="shared" si="4"/>
        <v>3.7469064597689561E-2</v>
      </c>
      <c r="K58" s="7">
        <f t="shared" si="5"/>
        <v>5.5209785602309935E-2</v>
      </c>
    </row>
    <row r="59" spans="1:11" x14ac:dyDescent="0.25">
      <c r="A59">
        <v>20114</v>
      </c>
      <c r="B59" s="5">
        <v>1.14E-2</v>
      </c>
      <c r="C59" s="6">
        <v>-1.5900000000000001E-2</v>
      </c>
      <c r="D59" s="7">
        <v>-4.4000000000000003E-3</v>
      </c>
      <c r="I59" s="5">
        <f t="shared" si="3"/>
        <v>1.14E-2</v>
      </c>
      <c r="J59" s="6">
        <f t="shared" si="4"/>
        <v>-2.2613849599479853E-2</v>
      </c>
      <c r="K59" s="7">
        <f t="shared" si="5"/>
        <v>-1.1471647484913916E-2</v>
      </c>
    </row>
    <row r="60" spans="1:11" x14ac:dyDescent="0.25">
      <c r="A60">
        <v>20113</v>
      </c>
      <c r="B60" s="5">
        <v>1.2800000000000001E-2</v>
      </c>
      <c r="C60" s="6">
        <v>2.0199999999999999E-2</v>
      </c>
      <c r="D60" s="7">
        <v>3.3000000000000002E-2</v>
      </c>
      <c r="I60" s="5">
        <f t="shared" si="3"/>
        <v>1.2800000000000001E-2</v>
      </c>
      <c r="J60" s="6">
        <f t="shared" si="4"/>
        <v>2.4254346849547387E-2</v>
      </c>
      <c r="K60" s="7">
        <f t="shared" si="5"/>
        <v>3.7364802489221471E-2</v>
      </c>
    </row>
    <row r="61" spans="1:11" x14ac:dyDescent="0.25">
      <c r="A61">
        <v>20112</v>
      </c>
      <c r="B61" s="5">
        <v>1.46E-2</v>
      </c>
      <c r="C61" s="6">
        <v>-1.6000000000000001E-3</v>
      </c>
      <c r="D61" s="7">
        <v>1.2999999999999999E-2</v>
      </c>
      <c r="I61" s="5">
        <f t="shared" si="3"/>
        <v>1.46E-2</v>
      </c>
      <c r="J61" s="6">
        <f t="shared" si="4"/>
        <v>-1.0434012630894543E-2</v>
      </c>
      <c r="K61" s="7">
        <f t="shared" si="5"/>
        <v>4.0136507846944003E-3</v>
      </c>
    </row>
    <row r="62" spans="1:11" x14ac:dyDescent="0.25">
      <c r="A62">
        <v>20111</v>
      </c>
      <c r="B62" s="5">
        <v>1.5900000000000001E-2</v>
      </c>
      <c r="C62" s="6">
        <v>4.5900000000000003E-2</v>
      </c>
      <c r="D62" s="7">
        <v>6.1800000000000001E-2</v>
      </c>
      <c r="I62" s="5">
        <f t="shared" si="3"/>
        <v>1.5900000000000001E-2</v>
      </c>
      <c r="J62" s="6">
        <f t="shared" si="4"/>
        <v>5.5291950270740513E-2</v>
      </c>
      <c r="K62" s="7">
        <f t="shared" si="5"/>
        <v>7.2071092280045379E-2</v>
      </c>
    </row>
    <row r="63" spans="1:11" x14ac:dyDescent="0.25">
      <c r="A63">
        <v>20104</v>
      </c>
      <c r="B63" s="5">
        <v>1.5100000000000001E-2</v>
      </c>
      <c r="C63" s="6">
        <v>-4.5999999999999999E-3</v>
      </c>
      <c r="D63" s="7">
        <v>1.06E-2</v>
      </c>
      <c r="I63" s="5">
        <f t="shared" si="3"/>
        <v>1.5100000000000001E-2</v>
      </c>
      <c r="J63" s="6">
        <f t="shared" si="4"/>
        <v>-1.2708693699094777E-2</v>
      </c>
      <c r="K63" s="7">
        <f t="shared" si="5"/>
        <v>2.1994050260487619E-3</v>
      </c>
    </row>
    <row r="64" spans="1:11" x14ac:dyDescent="0.25">
      <c r="A64">
        <v>20103</v>
      </c>
      <c r="B64" s="5">
        <v>1.35E-2</v>
      </c>
      <c r="C64" s="6">
        <v>3.9E-2</v>
      </c>
      <c r="D64" s="7">
        <v>5.2600000000000001E-2</v>
      </c>
      <c r="I64" s="5">
        <f t="shared" si="3"/>
        <v>1.35E-2</v>
      </c>
      <c r="J64" s="6">
        <f t="shared" si="4"/>
        <v>4.7982796001520125E-2</v>
      </c>
      <c r="K64" s="7">
        <f t="shared" si="5"/>
        <v>6.213056374754089E-2</v>
      </c>
    </row>
    <row r="65" spans="1:11" x14ac:dyDescent="0.25">
      <c r="A65">
        <v>20102</v>
      </c>
      <c r="B65" s="5">
        <v>1.46E-2</v>
      </c>
      <c r="C65" s="6">
        <v>-9.2999999999999992E-3</v>
      </c>
      <c r="D65" s="7">
        <v>5.3E-3</v>
      </c>
      <c r="I65" s="5">
        <f t="shared" si="3"/>
        <v>1.46E-2</v>
      </c>
      <c r="J65" s="6">
        <f t="shared" si="4"/>
        <v>-2.1909390660518942E-2</v>
      </c>
      <c r="K65" s="7">
        <f t="shared" si="5"/>
        <v>-7.6292677641625062E-3</v>
      </c>
    </row>
    <row r="66" spans="1:11" x14ac:dyDescent="0.25">
      <c r="A66">
        <v>20101</v>
      </c>
      <c r="B66" s="5">
        <v>1.6899999999999998E-2</v>
      </c>
      <c r="C66" s="6">
        <v>5.8500000000000003E-2</v>
      </c>
      <c r="D66" s="7">
        <v>7.5399999999999995E-2</v>
      </c>
      <c r="I66" s="5">
        <f t="shared" si="3"/>
        <v>1.6899999999999998E-2</v>
      </c>
      <c r="J66" s="6">
        <f t="shared" si="4"/>
        <v>7.7414085990778411E-2</v>
      </c>
      <c r="K66" s="7">
        <f t="shared" si="5"/>
        <v>9.5622384044022457E-2</v>
      </c>
    </row>
    <row r="67" spans="1:11" x14ac:dyDescent="0.25">
      <c r="A67">
        <v>20094</v>
      </c>
      <c r="B67" s="5">
        <v>1.47E-2</v>
      </c>
      <c r="C67" s="6">
        <v>-4.3200000000000002E-2</v>
      </c>
      <c r="D67" s="7">
        <v>-2.8500000000000001E-2</v>
      </c>
      <c r="I67" s="5">
        <f t="shared" si="3"/>
        <v>1.47E-2</v>
      </c>
      <c r="J67" s="6">
        <f t="shared" si="4"/>
        <v>-2.7503354399000018E-2</v>
      </c>
      <c r="K67" s="7">
        <f t="shared" si="5"/>
        <v>-1.320765370866539E-2</v>
      </c>
    </row>
    <row r="68" spans="1:11" x14ac:dyDescent="0.25">
      <c r="A68">
        <v>20093</v>
      </c>
      <c r="B68" s="5">
        <v>1.32E-2</v>
      </c>
      <c r="C68" s="6">
        <v>-0.12759999999999999</v>
      </c>
      <c r="D68" s="7">
        <v>-0.1144</v>
      </c>
      <c r="I68" s="5">
        <f t="shared" si="3"/>
        <v>1.32E-2</v>
      </c>
      <c r="J68" s="6">
        <f t="shared" si="4"/>
        <v>-0.14878303239281868</v>
      </c>
      <c r="K68" s="7">
        <f t="shared" si="5"/>
        <v>-0.13754696842040381</v>
      </c>
    </row>
    <row r="69" spans="1:11" x14ac:dyDescent="0.25">
      <c r="A69">
        <v>20092</v>
      </c>
      <c r="B69" s="5">
        <v>1.54E-2</v>
      </c>
      <c r="C69" s="6">
        <v>-1.37E-2</v>
      </c>
      <c r="D69" s="7">
        <v>1.6999999999999999E-3</v>
      </c>
      <c r="I69" s="5">
        <f t="shared" si="3"/>
        <v>1.54E-2</v>
      </c>
      <c r="J69" s="6">
        <f t="shared" si="4"/>
        <v>-1.4778679437035544E-2</v>
      </c>
      <c r="K69" s="7">
        <f t="shared" si="5"/>
        <v>3.9372889963407154E-4</v>
      </c>
    </row>
    <row r="70" spans="1:11" x14ac:dyDescent="0.25">
      <c r="A70">
        <v>20091</v>
      </c>
      <c r="B70" s="5">
        <v>1.5699999999999999E-2</v>
      </c>
      <c r="C70" s="6">
        <v>-7.9000000000000008E-3</v>
      </c>
      <c r="D70" s="7">
        <v>7.7999999999999996E-3</v>
      </c>
      <c r="I70" s="5">
        <f t="shared" si="3"/>
        <v>1.5699999999999999E-2</v>
      </c>
      <c r="J70" s="6">
        <f t="shared" si="4"/>
        <v>-2.748522554383981E-4</v>
      </c>
      <c r="K70" s="7">
        <f t="shared" si="5"/>
        <v>1.5420832564151166E-2</v>
      </c>
    </row>
    <row r="71" spans="1:11" x14ac:dyDescent="0.25">
      <c r="A71">
        <v>20084</v>
      </c>
      <c r="B71" s="5">
        <v>1.5800000000000002E-2</v>
      </c>
      <c r="C71" s="6">
        <v>-4.8899999999999999E-2</v>
      </c>
      <c r="D71" s="7">
        <v>-3.3099999999999997E-2</v>
      </c>
      <c r="I71" s="5">
        <f t="shared" si="3"/>
        <v>1.5800000000000002E-2</v>
      </c>
      <c r="J71" s="6">
        <f t="shared" si="4"/>
        <v>-5.7510837574956147E-2</v>
      </c>
      <c r="K71" s="7">
        <f t="shared" ref="K71:K75" si="6">(1+I71)*(1+J71)-1</f>
        <v>-4.2619508808640405E-2</v>
      </c>
    </row>
    <row r="72" spans="1:11" x14ac:dyDescent="0.25">
      <c r="A72">
        <v>20083</v>
      </c>
      <c r="B72" s="5">
        <v>7.7999999999999996E-3</v>
      </c>
      <c r="C72" s="6">
        <v>-2.5999999999999999E-3</v>
      </c>
      <c r="D72" s="7">
        <v>5.1000000000000004E-3</v>
      </c>
      <c r="I72" s="5">
        <f t="shared" si="3"/>
        <v>7.7999999999999996E-3</v>
      </c>
      <c r="J72" s="6">
        <f t="shared" si="4"/>
        <v>2.8677888704905156E-3</v>
      </c>
      <c r="K72" s="7">
        <f t="shared" si="6"/>
        <v>1.0690157623680197E-2</v>
      </c>
    </row>
    <row r="73" spans="1:11" x14ac:dyDescent="0.25">
      <c r="A73">
        <v>20082</v>
      </c>
      <c r="B73" s="5">
        <v>1.18E-2</v>
      </c>
      <c r="C73" s="6">
        <v>-3.2000000000000001E-2</v>
      </c>
      <c r="D73" s="7">
        <v>-2.0199999999999999E-2</v>
      </c>
      <c r="I73" s="5">
        <f t="shared" si="3"/>
        <v>1.18E-2</v>
      </c>
      <c r="J73" s="6">
        <f t="shared" si="4"/>
        <v>-3.7374799263849519E-2</v>
      </c>
      <c r="K73" s="7">
        <f t="shared" si="6"/>
        <v>-2.6015821895162938E-2</v>
      </c>
    </row>
    <row r="74" spans="1:11" x14ac:dyDescent="0.25">
      <c r="A74">
        <v>20081</v>
      </c>
      <c r="B74" s="5">
        <v>1.6199999999999999E-2</v>
      </c>
      <c r="C74" s="6">
        <v>-3.0999999999999999E-3</v>
      </c>
      <c r="D74" s="7">
        <v>1.2999999999999999E-2</v>
      </c>
      <c r="I74" s="5">
        <f t="shared" si="3"/>
        <v>1.6199999999999999E-2</v>
      </c>
      <c r="J74" s="6">
        <f t="shared" si="4"/>
        <v>1.2705115121267726E-3</v>
      </c>
      <c r="K74" s="7">
        <f t="shared" si="6"/>
        <v>1.7491093798623236E-2</v>
      </c>
    </row>
    <row r="75" spans="1:11" x14ac:dyDescent="0.25">
      <c r="A75">
        <v>20074</v>
      </c>
      <c r="B75" s="8">
        <v>1.37E-2</v>
      </c>
      <c r="C75" s="9">
        <v>-2.6599999999999999E-2</v>
      </c>
      <c r="D75" s="10">
        <v>-1.29E-2</v>
      </c>
      <c r="I75" s="8">
        <f t="shared" si="3"/>
        <v>1.37E-2</v>
      </c>
      <c r="J75" s="9">
        <f t="shared" si="4"/>
        <v>-3.1547047073300943E-2</v>
      </c>
      <c r="K75" s="10">
        <f t="shared" si="6"/>
        <v>-1.8279241618205044E-2</v>
      </c>
    </row>
    <row r="76" spans="1:11" x14ac:dyDescent="0.25">
      <c r="I76" s="6"/>
      <c r="J76" s="6"/>
      <c r="K76" s="6"/>
    </row>
    <row r="77" spans="1:11" x14ac:dyDescent="0.25">
      <c r="I77" s="6"/>
      <c r="J77" s="6"/>
      <c r="K77" s="6"/>
    </row>
    <row r="78" spans="1:11" x14ac:dyDescent="0.25">
      <c r="I78" s="6"/>
      <c r="J78" s="6"/>
      <c r="K78" s="6"/>
    </row>
    <row r="79" spans="1:11" x14ac:dyDescent="0.25">
      <c r="I79" s="6"/>
      <c r="J79" s="6"/>
      <c r="K79" s="6"/>
    </row>
    <row r="80" spans="1:11" x14ac:dyDescent="0.25">
      <c r="I80" s="6"/>
      <c r="J80" s="6"/>
      <c r="K80" s="6"/>
    </row>
    <row r="81" spans="9:11" x14ac:dyDescent="0.25">
      <c r="I81" s="6"/>
      <c r="J81" s="6"/>
      <c r="K81" s="6"/>
    </row>
    <row r="82" spans="9:11" x14ac:dyDescent="0.25">
      <c r="I82" s="6"/>
      <c r="J82" s="6"/>
      <c r="K82" s="6"/>
    </row>
    <row r="83" spans="9:11" x14ac:dyDescent="0.25">
      <c r="I83" s="6"/>
      <c r="J83" s="6"/>
      <c r="K83" s="6"/>
    </row>
    <row r="84" spans="9:11" x14ac:dyDescent="0.25">
      <c r="I84" s="6"/>
      <c r="J84" s="6"/>
      <c r="K84" s="6"/>
    </row>
    <row r="85" spans="9:11" x14ac:dyDescent="0.25">
      <c r="I85" s="6"/>
      <c r="J85" s="6"/>
      <c r="K85" s="6"/>
    </row>
    <row r="86" spans="9:11" x14ac:dyDescent="0.25">
      <c r="I86" s="6"/>
      <c r="J86" s="6"/>
      <c r="K86" s="6"/>
    </row>
    <row r="87" spans="9:11" x14ac:dyDescent="0.25">
      <c r="I87" s="6"/>
      <c r="J87" s="6"/>
      <c r="K87" s="6"/>
    </row>
    <row r="88" spans="9:11" x14ac:dyDescent="0.25">
      <c r="I88" s="6"/>
      <c r="J88" s="6"/>
      <c r="K88" s="6"/>
    </row>
    <row r="89" spans="9:11" x14ac:dyDescent="0.25">
      <c r="I89" s="6"/>
      <c r="J89" s="6"/>
      <c r="K89" s="6"/>
    </row>
  </sheetData>
  <mergeCells count="8">
    <mergeCell ref="M3:N3"/>
    <mergeCell ref="M4:N4"/>
    <mergeCell ref="A1:B1"/>
    <mergeCell ref="A2:B2"/>
    <mergeCell ref="B5:D5"/>
    <mergeCell ref="F3:G3"/>
    <mergeCell ref="F4:G4"/>
    <mergeCell ref="I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EffFrontInputs</vt:lpstr>
      <vt:lpstr>Covariance Matrix</vt:lpstr>
      <vt:lpstr>Summary</vt:lpstr>
      <vt:lpstr>Apartment</vt:lpstr>
      <vt:lpstr>Industrial</vt:lpstr>
      <vt:lpstr>Office</vt:lpstr>
      <vt:lpstr>Retail</vt:lpstr>
      <vt:lpstr>Data Center</vt:lpstr>
      <vt:lpstr>Hotel</vt:lpstr>
      <vt:lpstr>Life Science</vt:lpstr>
      <vt:lpstr>Manufactured</vt:lpstr>
      <vt:lpstr>Medical Office</vt:lpstr>
      <vt:lpstr>SFR</vt:lpstr>
      <vt:lpstr>Seniors</vt:lpstr>
      <vt:lpstr>Storage</vt:lpstr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Teddy Grendzynski</dc:creator>
  <cp:lastModifiedBy>Prashant Tewari</cp:lastModifiedBy>
  <dcterms:created xsi:type="dcterms:W3CDTF">2025-03-25T15:29:36Z</dcterms:created>
  <dcterms:modified xsi:type="dcterms:W3CDTF">2025-07-27T20:34:33Z</dcterms:modified>
</cp:coreProperties>
</file>