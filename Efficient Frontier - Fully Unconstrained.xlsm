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wnsendgrp-my.sharepoint.com/personal/martin_rosenberg_townsend_com/Documents/Desktop/"/>
    </mc:Choice>
  </mc:AlternateContent>
  <xr:revisionPtr revIDLastSave="0" documentId="8_{EBEC216C-E3EE-48AF-B83A-D2A20467179D}" xr6:coauthVersionLast="47" xr6:coauthVersionMax="47" xr10:uidLastSave="{00000000-0000-0000-0000-000000000000}"/>
  <bookViews>
    <workbookView xWindow="-120" yWindow="-120" windowWidth="29040" windowHeight="15720" tabRatio="446" activeTab="1" xr2:uid="{00000000-000D-0000-FFFF-FFFF00000000}"/>
  </bookViews>
  <sheets>
    <sheet name="Input" sheetId="9" r:id="rId1"/>
    <sheet name="Results" sheetId="12" r:id="rId2"/>
    <sheet name="Sheet2" sheetId="14" r:id="rId3"/>
    <sheet name="Sheet1" sheetId="13" state="hidden" r:id="rId4"/>
  </sheets>
  <externalReferences>
    <externalReference r:id="rId5"/>
  </externalReferences>
  <definedNames>
    <definedName name="Area_Chart_X">OFFSET(Results!$B$2,0,0,1,COUNTA(Results!$2:$2)-1)</definedName>
    <definedName name="Area_Chart2">OFFSET(Results!$A$5,0,0,COUNTA(Results!$A:$A)-4,COUNTA(Results!$2:$2))</definedName>
    <definedName name="Columns">Input!$J$2:$AC$2</definedName>
    <definedName name="Data_Array">Input!$J$3:$AC$22</definedName>
    <definedName name="Exp_Ret">OFFSET(Results!$B$2,0,0,1,COUNTA(Results!$2:$2)-1)</definedName>
    <definedName name="Exp_Ret_List">Results!$B$2:$L$2</definedName>
    <definedName name="Exp_Std_List">Results!$B$3:$L$3</definedName>
    <definedName name="InputLength">Input!$BE$11</definedName>
    <definedName name="Rows">Input!$I$3:$I$22</definedName>
    <definedName name="solver_adj" localSheetId="0" hidden="1">Input!$G$3:$G$16</definedName>
    <definedName name="solver_adj" localSheetId="1" hidden="1">Results!$G$3:$G$6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Input!$BB$4</definedName>
    <definedName name="solver_lhs1" localSheetId="0" hidden="1">Input!$G$3</definedName>
    <definedName name="solver_lhs1" localSheetId="1" hidden="1">Results!$G$3</definedName>
    <definedName name="solver_lhs10" localSheetId="0" hidden="1">Input!$G$7</definedName>
    <definedName name="solver_lhs10" localSheetId="1" hidden="1">Results!$G$7</definedName>
    <definedName name="solver_lhs11" localSheetId="0" hidden="1">Input!$G$8</definedName>
    <definedName name="solver_lhs11" localSheetId="1" hidden="1">Results!$G$1</definedName>
    <definedName name="solver_lhs12" localSheetId="0" hidden="1">Input!$G$8</definedName>
    <definedName name="solver_lhs13" localSheetId="0" hidden="1">Input!$G$9</definedName>
    <definedName name="solver_lhs14" localSheetId="0" hidden="1">Input!$G$9</definedName>
    <definedName name="solver_lhs15" localSheetId="0" hidden="1">Input!$G$10</definedName>
    <definedName name="solver_lhs16" localSheetId="0" hidden="1">Input!$G$10</definedName>
    <definedName name="solver_lhs17" localSheetId="0" hidden="1">Input!$G$11</definedName>
    <definedName name="solver_lhs18" localSheetId="0" hidden="1">Input!$G$11</definedName>
    <definedName name="solver_lhs19" localSheetId="0" hidden="1">Input!$G$12</definedName>
    <definedName name="solver_lhs2" localSheetId="0" hidden="1">Input!$G$3</definedName>
    <definedName name="solver_lhs2" localSheetId="1" hidden="1">Results!$G$3</definedName>
    <definedName name="solver_lhs20" localSheetId="0" hidden="1">Input!$G$12</definedName>
    <definedName name="solver_lhs21" localSheetId="0" hidden="1">Input!$G$13</definedName>
    <definedName name="solver_lhs22" localSheetId="0" hidden="1">Input!$G$13</definedName>
    <definedName name="solver_lhs23" localSheetId="0" hidden="1">Input!$G$14</definedName>
    <definedName name="solver_lhs24" localSheetId="0" hidden="1">Input!$G$14</definedName>
    <definedName name="solver_lhs25" localSheetId="0" hidden="1">Input!$G$15</definedName>
    <definedName name="solver_lhs26" localSheetId="0" hidden="1">Input!$G$15</definedName>
    <definedName name="solver_lhs27" localSheetId="0" hidden="1">Input!$G$16</definedName>
    <definedName name="solver_lhs28" localSheetId="0" hidden="1">Input!$G$16</definedName>
    <definedName name="solver_lhs29" localSheetId="0" hidden="1">Input!$G$1</definedName>
    <definedName name="solver_lhs3" localSheetId="0" hidden="1">Input!$G$4</definedName>
    <definedName name="solver_lhs3" localSheetId="1" hidden="1">Results!$G$4</definedName>
    <definedName name="solver_lhs30" localSheetId="0" hidden="1">Input!$BB$4</definedName>
    <definedName name="solver_lhs4" localSheetId="0" hidden="1">Input!$G$4</definedName>
    <definedName name="solver_lhs4" localSheetId="1" hidden="1">Results!$G$4</definedName>
    <definedName name="solver_lhs5" localSheetId="0" hidden="1">Input!$G$5</definedName>
    <definedName name="solver_lhs5" localSheetId="1" hidden="1">Results!$G$5</definedName>
    <definedName name="solver_lhs6" localSheetId="0" hidden="1">Input!$G$5</definedName>
    <definedName name="solver_lhs6" localSheetId="1" hidden="1">Results!$G$5</definedName>
    <definedName name="solver_lhs7" localSheetId="0" hidden="1">Input!$G$6</definedName>
    <definedName name="solver_lhs7" localSheetId="1" hidden="1">Results!$G$6</definedName>
    <definedName name="solver_lhs8" localSheetId="0" hidden="1">Input!$G$6</definedName>
    <definedName name="solver_lhs8" localSheetId="1" hidden="1">Results!$G$6</definedName>
    <definedName name="solver_lhs9" localSheetId="0" hidden="1">Input!$G$7</definedName>
    <definedName name="solver_lhs9" localSheetId="1" hidden="1">Results!$G$1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30</definedName>
    <definedName name="solver_num" localSheetId="1" hidden="1">9</definedName>
    <definedName name="solver_nwt" localSheetId="0" hidden="1">1</definedName>
    <definedName name="solver_opt" localSheetId="0" hidden="1">Input!$BB$2</definedName>
    <definedName name="solver_opt" localSheetId="1" hidden="1">Results!$AH$1</definedName>
    <definedName name="solver_pre" localSheetId="0" hidden="1">0.000001</definedName>
    <definedName name="solver_rbv" localSheetId="0" hidden="1">1</definedName>
    <definedName name="solver_rel0" localSheetId="0" hidden="1">2</definedName>
    <definedName name="solver_rel1" localSheetId="0" hidden="1">3</definedName>
    <definedName name="solver_rel1" localSheetId="1" hidden="1">3</definedName>
    <definedName name="solver_rel10" localSheetId="0" hidden="1">1</definedName>
    <definedName name="solver_rel10" localSheetId="1" hidden="1">1</definedName>
    <definedName name="solver_rel11" localSheetId="0" hidden="1">3</definedName>
    <definedName name="solver_rel11" localSheetId="1" hidden="1">2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18" localSheetId="0" hidden="1">1</definedName>
    <definedName name="solver_rel19" localSheetId="0" hidden="1">3</definedName>
    <definedName name="solver_rel2" localSheetId="0" hidden="1">1</definedName>
    <definedName name="solver_rel2" localSheetId="1" hidden="1">1</definedName>
    <definedName name="solver_rel20" localSheetId="0" hidden="1">1</definedName>
    <definedName name="solver_rel21" localSheetId="0" hidden="1">3</definedName>
    <definedName name="solver_rel22" localSheetId="0" hidden="1">1</definedName>
    <definedName name="solver_rel23" localSheetId="0" hidden="1">3</definedName>
    <definedName name="solver_rel24" localSheetId="0" hidden="1">1</definedName>
    <definedName name="solver_rel25" localSheetId="0" hidden="1">3</definedName>
    <definedName name="solver_rel26" localSheetId="0" hidden="1">1</definedName>
    <definedName name="solver_rel27" localSheetId="0" hidden="1">3</definedName>
    <definedName name="solver_rel28" localSheetId="0" hidden="1">1</definedName>
    <definedName name="solver_rel29" localSheetId="0" hidden="1">2</definedName>
    <definedName name="solver_rel3" localSheetId="0" hidden="1">3</definedName>
    <definedName name="solver_rel3" localSheetId="1" hidden="1">3</definedName>
    <definedName name="solver_rel30" localSheetId="0" hidden="1">2</definedName>
    <definedName name="solver_rel4" localSheetId="0" hidden="1">1</definedName>
    <definedName name="solver_rel4" localSheetId="1" hidden="1">1</definedName>
    <definedName name="solver_rel5" localSheetId="0" hidden="1">3</definedName>
    <definedName name="solver_rel5" localSheetId="1" hidden="1">3</definedName>
    <definedName name="solver_rel6" localSheetId="0" hidden="1">1</definedName>
    <definedName name="solver_rel6" localSheetId="1" hidden="1">1</definedName>
    <definedName name="solver_rel7" localSheetId="0" hidden="1">3</definedName>
    <definedName name="solver_rel7" localSheetId="1" hidden="1">3</definedName>
    <definedName name="solver_rel8" localSheetId="0" hidden="1">1</definedName>
    <definedName name="solver_rel8" localSheetId="1" hidden="1">1</definedName>
    <definedName name="solver_rel9" localSheetId="0" hidden="1">3</definedName>
    <definedName name="solver_rel9" localSheetId="1" hidden="1">2</definedName>
    <definedName name="solver_rhs0" localSheetId="0" hidden="1">0.0744000016940608</definedName>
    <definedName name="solver_rhs1" localSheetId="0" hidden="1">0</definedName>
    <definedName name="solver_rhs1" localSheetId="1" hidden="1">0.102669371422731</definedName>
    <definedName name="solver_rhs10" localSheetId="0" hidden="1">1</definedName>
    <definedName name="solver_rhs10" localSheetId="1" hidden="1">0.0946649927923049</definedName>
    <definedName name="solver_rhs11" localSheetId="0" hidden="1">0</definedName>
    <definedName name="solver_rhs11" localSheetId="1" hidden="1">1</definedName>
    <definedName name="solver_rhs12" localSheetId="0" hidden="1">1</definedName>
    <definedName name="solver_rhs13" localSheetId="0" hidden="1">0</definedName>
    <definedName name="solver_rhs14" localSheetId="0" hidden="1">1</definedName>
    <definedName name="solver_rhs15" localSheetId="0" hidden="1">0</definedName>
    <definedName name="solver_rhs16" localSheetId="0" hidden="1">1</definedName>
    <definedName name="solver_rhs17" localSheetId="0" hidden="1">0</definedName>
    <definedName name="solver_rhs18" localSheetId="0" hidden="1">1</definedName>
    <definedName name="solver_rhs19" localSheetId="0" hidden="1">0</definedName>
    <definedName name="solver_rhs2" localSheetId="0" hidden="1">1</definedName>
    <definedName name="solver_rhs2" localSheetId="1" hidden="1">0.102669371422731</definedName>
    <definedName name="solver_rhs20" localSheetId="0" hidden="1">1</definedName>
    <definedName name="solver_rhs21" localSheetId="0" hidden="1">0</definedName>
    <definedName name="solver_rhs22" localSheetId="0" hidden="1">1</definedName>
    <definedName name="solver_rhs23" localSheetId="0" hidden="1">0</definedName>
    <definedName name="solver_rhs24" localSheetId="0" hidden="1">0</definedName>
    <definedName name="solver_rhs25" localSheetId="0" hidden="1">0</definedName>
    <definedName name="solver_rhs26" localSheetId="0" hidden="1">0</definedName>
    <definedName name="solver_rhs27" localSheetId="0" hidden="1">0</definedName>
    <definedName name="solver_rhs28" localSheetId="0" hidden="1">0</definedName>
    <definedName name="solver_rhs29" localSheetId="0" hidden="1">1</definedName>
    <definedName name="solver_rhs3" localSheetId="0" hidden="1">0</definedName>
    <definedName name="solver_rhs3" localSheetId="1" hidden="1">0.871730274283205</definedName>
    <definedName name="solver_rhs30" localSheetId="0" hidden="1">Input!$BB$1</definedName>
    <definedName name="solver_rhs4" localSheetId="0" hidden="1">1</definedName>
    <definedName name="solver_rhs4" localSheetId="1" hidden="1">0.871730274283205</definedName>
    <definedName name="solver_rhs5" localSheetId="0" hidden="1">0</definedName>
    <definedName name="solver_rhs5" localSheetId="1" hidden="1">0.5</definedName>
    <definedName name="solver_rhs6" localSheetId="0" hidden="1">1</definedName>
    <definedName name="solver_rhs6" localSheetId="1" hidden="1">0.5</definedName>
    <definedName name="solver_rhs7" localSheetId="0" hidden="1">0</definedName>
    <definedName name="solver_rhs7" localSheetId="1" hidden="1">0.299999992549419</definedName>
    <definedName name="solver_rhs8" localSheetId="0" hidden="1">1</definedName>
    <definedName name="solver_rhs8" localSheetId="1" hidden="1">0.299999992549419</definedName>
    <definedName name="solver_rhs9" localSheetId="0" hidden="1">0</definedName>
    <definedName name="solver_rhs9" localSheetId="1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Std_Dev">OFFSET(Results!$B$3,0,0,1,COUNTA(Results!$2:$2)-1)</definedName>
    <definedName name="Targ_Ret">Input!$BB$1</definedName>
    <definedName name="Target">Input!$BB$4</definedName>
    <definedName name="Target_Max">Input!$BE$3</definedName>
    <definedName name="Target_Min">Input!$BE$2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84" i="12" l="1"/>
  <c r="O84" i="12"/>
  <c r="N84" i="12"/>
  <c r="M84" i="12"/>
  <c r="L84" i="12"/>
  <c r="K84" i="12"/>
  <c r="J84" i="12"/>
  <c r="I84" i="12"/>
  <c r="H84" i="12"/>
  <c r="G84" i="12"/>
  <c r="F84" i="12"/>
  <c r="E84" i="12"/>
  <c r="D84" i="12"/>
  <c r="C84" i="12"/>
  <c r="B84" i="12"/>
  <c r="P83" i="12"/>
  <c r="O83" i="12"/>
  <c r="N83" i="12"/>
  <c r="M83" i="12"/>
  <c r="L83" i="12"/>
  <c r="K83" i="12"/>
  <c r="J83" i="12"/>
  <c r="I83" i="12"/>
  <c r="H83" i="12"/>
  <c r="G83" i="12"/>
  <c r="F83" i="12"/>
  <c r="E83" i="12"/>
  <c r="D83" i="12"/>
  <c r="C83" i="12"/>
  <c r="B83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D82" i="12"/>
  <c r="C82" i="12"/>
  <c r="B82" i="12"/>
  <c r="P81" i="12"/>
  <c r="O81" i="12"/>
  <c r="N81" i="12"/>
  <c r="M81" i="12"/>
  <c r="L81" i="12"/>
  <c r="K81" i="12"/>
  <c r="J81" i="12"/>
  <c r="I81" i="12"/>
  <c r="H81" i="12"/>
  <c r="G81" i="12"/>
  <c r="F81" i="12"/>
  <c r="E81" i="12"/>
  <c r="D81" i="12"/>
  <c r="C81" i="12"/>
  <c r="B81" i="12"/>
  <c r="P80" i="12"/>
  <c r="O80" i="12"/>
  <c r="N80" i="12"/>
  <c r="M80" i="12"/>
  <c r="L80" i="12"/>
  <c r="K80" i="12"/>
  <c r="J80" i="12"/>
  <c r="I80" i="12"/>
  <c r="H80" i="12"/>
  <c r="G80" i="12"/>
  <c r="F80" i="12"/>
  <c r="E80" i="12"/>
  <c r="D80" i="12"/>
  <c r="C80" i="12"/>
  <c r="B80" i="12"/>
  <c r="P79" i="12"/>
  <c r="O79" i="12"/>
  <c r="N79" i="12"/>
  <c r="M79" i="12"/>
  <c r="L79" i="12"/>
  <c r="K79" i="12"/>
  <c r="J79" i="12"/>
  <c r="I79" i="12"/>
  <c r="H79" i="12"/>
  <c r="G79" i="12"/>
  <c r="F79" i="12"/>
  <c r="E79" i="12"/>
  <c r="D79" i="12"/>
  <c r="C79" i="12"/>
  <c r="B79" i="12"/>
  <c r="P78" i="12"/>
  <c r="O78" i="12"/>
  <c r="N78" i="12"/>
  <c r="M78" i="12"/>
  <c r="L78" i="12"/>
  <c r="K78" i="12"/>
  <c r="J78" i="12"/>
  <c r="I78" i="12"/>
  <c r="H78" i="12"/>
  <c r="G78" i="12"/>
  <c r="F78" i="12"/>
  <c r="E78" i="12"/>
  <c r="D78" i="12"/>
  <c r="C78" i="12"/>
  <c r="B78" i="12"/>
  <c r="P77" i="12"/>
  <c r="O77" i="12"/>
  <c r="N77" i="12"/>
  <c r="M77" i="12"/>
  <c r="L77" i="12"/>
  <c r="K77" i="12"/>
  <c r="J77" i="12"/>
  <c r="I77" i="12"/>
  <c r="H77" i="12"/>
  <c r="G77" i="12"/>
  <c r="F77" i="12"/>
  <c r="E77" i="12"/>
  <c r="D77" i="12"/>
  <c r="C77" i="12"/>
  <c r="B77" i="12"/>
  <c r="P76" i="12"/>
  <c r="O76" i="12"/>
  <c r="N76" i="12"/>
  <c r="M76" i="12"/>
  <c r="L76" i="12"/>
  <c r="K76" i="12"/>
  <c r="J76" i="12"/>
  <c r="I76" i="12"/>
  <c r="H76" i="12"/>
  <c r="G76" i="12"/>
  <c r="F76" i="12"/>
  <c r="E76" i="12"/>
  <c r="D76" i="12"/>
  <c r="C76" i="12"/>
  <c r="B76" i="12"/>
  <c r="P75" i="12"/>
  <c r="O75" i="12"/>
  <c r="N75" i="12"/>
  <c r="M75" i="12"/>
  <c r="L75" i="12"/>
  <c r="K75" i="12"/>
  <c r="J75" i="12"/>
  <c r="I75" i="12"/>
  <c r="H75" i="12"/>
  <c r="G75" i="12"/>
  <c r="F75" i="12"/>
  <c r="E75" i="12"/>
  <c r="D75" i="12"/>
  <c r="C75" i="12"/>
  <c r="B75" i="12"/>
  <c r="P74" i="12"/>
  <c r="O74" i="12"/>
  <c r="N74" i="12"/>
  <c r="M74" i="12"/>
  <c r="L74" i="12"/>
  <c r="K74" i="12"/>
  <c r="J74" i="12"/>
  <c r="I74" i="12"/>
  <c r="H74" i="12"/>
  <c r="G74" i="12"/>
  <c r="F74" i="12"/>
  <c r="E74" i="12"/>
  <c r="D74" i="12"/>
  <c r="C74" i="12"/>
  <c r="B74" i="12"/>
  <c r="P73" i="12"/>
  <c r="O73" i="12"/>
  <c r="N73" i="12"/>
  <c r="M73" i="12"/>
  <c r="L73" i="12"/>
  <c r="K73" i="12"/>
  <c r="J73" i="12"/>
  <c r="I73" i="12"/>
  <c r="H73" i="12"/>
  <c r="G73" i="12"/>
  <c r="F73" i="12"/>
  <c r="E73" i="12"/>
  <c r="D73" i="12"/>
  <c r="C73" i="12"/>
  <c r="B73" i="12"/>
  <c r="P72" i="12"/>
  <c r="O72" i="12"/>
  <c r="N72" i="12"/>
  <c r="M72" i="12"/>
  <c r="L72" i="12"/>
  <c r="K72" i="12"/>
  <c r="J72" i="12"/>
  <c r="I72" i="12"/>
  <c r="H72" i="12"/>
  <c r="G72" i="12"/>
  <c r="F72" i="12"/>
  <c r="E72" i="12"/>
  <c r="D72" i="12"/>
  <c r="C72" i="12"/>
  <c r="B72" i="12"/>
  <c r="P71" i="12"/>
  <c r="O71" i="12"/>
  <c r="N71" i="12"/>
  <c r="M71" i="12"/>
  <c r="L71" i="12"/>
  <c r="K71" i="12"/>
  <c r="J71" i="12"/>
  <c r="I71" i="12"/>
  <c r="H71" i="12"/>
  <c r="G71" i="12"/>
  <c r="F71" i="12"/>
  <c r="E71" i="12"/>
  <c r="D71" i="12"/>
  <c r="C71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99" i="12" l="1"/>
  <c r="A98" i="12"/>
  <c r="A97" i="12"/>
  <c r="A96" i="12"/>
  <c r="A95" i="12"/>
  <c r="A94" i="12"/>
  <c r="A93" i="12"/>
  <c r="A92" i="12"/>
  <c r="A104" i="12"/>
  <c r="A103" i="12"/>
  <c r="R18" i="14"/>
  <c r="R17" i="14"/>
  <c r="Q17" i="14"/>
  <c r="K17" i="14"/>
  <c r="P14" i="9" s="1"/>
  <c r="R16" i="14"/>
  <c r="Q16" i="14"/>
  <c r="P16" i="14"/>
  <c r="R15" i="14"/>
  <c r="Q15" i="14"/>
  <c r="P15" i="14"/>
  <c r="O15" i="14"/>
  <c r="R14" i="14"/>
  <c r="Q14" i="14"/>
  <c r="P14" i="14"/>
  <c r="O14" i="14"/>
  <c r="N14" i="14"/>
  <c r="R13" i="14"/>
  <c r="Q13" i="14"/>
  <c r="P13" i="14"/>
  <c r="O13" i="14"/>
  <c r="N13" i="14"/>
  <c r="M13" i="14"/>
  <c r="R12" i="14"/>
  <c r="Q12" i="14"/>
  <c r="P12" i="14"/>
  <c r="O12" i="14"/>
  <c r="N12" i="14"/>
  <c r="M12" i="14"/>
  <c r="L12" i="14"/>
  <c r="R11" i="14"/>
  <c r="Q11" i="14"/>
  <c r="P11" i="14"/>
  <c r="O11" i="14"/>
  <c r="N11" i="14"/>
  <c r="M11" i="14"/>
  <c r="L11" i="14"/>
  <c r="K11" i="14"/>
  <c r="R10" i="14"/>
  <c r="Q10" i="14"/>
  <c r="P10" i="14"/>
  <c r="O10" i="14"/>
  <c r="N10" i="14"/>
  <c r="M10" i="14"/>
  <c r="L10" i="14"/>
  <c r="K10" i="14"/>
  <c r="J10" i="14"/>
  <c r="R9" i="14"/>
  <c r="Q9" i="14"/>
  <c r="P9" i="14"/>
  <c r="O9" i="14"/>
  <c r="N9" i="14"/>
  <c r="M9" i="14"/>
  <c r="L9" i="14"/>
  <c r="K9" i="14"/>
  <c r="J9" i="14"/>
  <c r="I9" i="14"/>
  <c r="R8" i="14"/>
  <c r="Q8" i="14"/>
  <c r="P8" i="14"/>
  <c r="O8" i="14"/>
  <c r="N8" i="14"/>
  <c r="M8" i="14"/>
  <c r="L8" i="14"/>
  <c r="K8" i="14"/>
  <c r="J8" i="14"/>
  <c r="I8" i="14"/>
  <c r="H8" i="14"/>
  <c r="R7" i="14"/>
  <c r="Q7" i="14"/>
  <c r="P7" i="14"/>
  <c r="O7" i="14"/>
  <c r="N7" i="14"/>
  <c r="M7" i="14"/>
  <c r="L7" i="14"/>
  <c r="K7" i="14"/>
  <c r="J7" i="14"/>
  <c r="I7" i="14"/>
  <c r="H7" i="14"/>
  <c r="G7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A91" i="12"/>
  <c r="B71" i="12"/>
  <c r="A102" i="12" l="1"/>
  <c r="A101" i="12"/>
  <c r="A100" i="12"/>
  <c r="G42" i="14"/>
  <c r="P42" i="14"/>
  <c r="O42" i="14"/>
  <c r="P38" i="14"/>
  <c r="O38" i="14"/>
  <c r="N38" i="14"/>
  <c r="L38" i="14"/>
  <c r="K38" i="14"/>
  <c r="J38" i="14"/>
  <c r="I38" i="14"/>
  <c r="G38" i="14"/>
  <c r="F38" i="14"/>
  <c r="E38" i="14"/>
  <c r="D4" i="13" l="1"/>
  <c r="E13" i="13"/>
  <c r="E12" i="13"/>
  <c r="BE8" i="9"/>
  <c r="BE9" i="9" s="1"/>
  <c r="D3" i="13"/>
  <c r="E3" i="13"/>
  <c r="F3" i="13"/>
  <c r="E4" i="13"/>
  <c r="F4" i="13"/>
  <c r="D5" i="13"/>
  <c r="E5" i="13"/>
  <c r="F5" i="13"/>
  <c r="D6" i="13"/>
  <c r="E6" i="13"/>
  <c r="F6" i="13"/>
  <c r="D7" i="13"/>
  <c r="E7" i="13"/>
  <c r="F7" i="13"/>
  <c r="D8" i="13"/>
  <c r="E8" i="13"/>
  <c r="F8" i="13"/>
  <c r="D9" i="13"/>
  <c r="E9" i="13"/>
  <c r="F9" i="13"/>
  <c r="D10" i="13"/>
  <c r="E10" i="13"/>
  <c r="F10" i="13"/>
  <c r="D11" i="13"/>
  <c r="E11" i="13"/>
  <c r="F11" i="13"/>
  <c r="D12" i="13"/>
  <c r="F12" i="13"/>
  <c r="D13" i="13"/>
  <c r="F13" i="13"/>
  <c r="D14" i="13"/>
  <c r="E14" i="13"/>
  <c r="F14" i="13"/>
  <c r="D15" i="13"/>
  <c r="E15" i="13"/>
  <c r="F15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H19" i="13" s="1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B2" i="13"/>
  <c r="C2" i="13"/>
  <c r="D2" i="13"/>
  <c r="E2" i="13"/>
  <c r="F2" i="13"/>
  <c r="A2" i="13"/>
  <c r="H16" i="13" l="1"/>
  <c r="H15" i="13"/>
  <c r="H11" i="13"/>
  <c r="H7" i="13"/>
  <c r="H3" i="13"/>
  <c r="H17" i="13"/>
  <c r="H13" i="13"/>
  <c r="H9" i="13"/>
  <c r="H5" i="13"/>
  <c r="H21" i="13"/>
  <c r="H18" i="13"/>
  <c r="H10" i="13"/>
  <c r="H20" i="13"/>
  <c r="H12" i="13"/>
  <c r="H4" i="13"/>
  <c r="H22" i="13"/>
  <c r="H14" i="13"/>
  <c r="H6" i="13"/>
  <c r="H8" i="13"/>
  <c r="A1" i="13" l="1"/>
  <c r="AF24" i="9" l="1" a="1"/>
  <c r="AF24" i="9" s="1"/>
  <c r="I17" i="9"/>
  <c r="X17" i="9" s="1"/>
  <c r="I18" i="9"/>
  <c r="Y18" i="9" s="1"/>
  <c r="I19" i="9"/>
  <c r="Z19" i="9" s="1"/>
  <c r="I20" i="9"/>
  <c r="AE20" i="9" s="1"/>
  <c r="I21" i="9"/>
  <c r="AB21" i="9" s="1"/>
  <c r="I22" i="9"/>
  <c r="AC22" i="9" s="1"/>
  <c r="AE19" i="9" l="1"/>
  <c r="AE21" i="9"/>
  <c r="AE22" i="9"/>
  <c r="AU24" i="9"/>
  <c r="AM24" i="9"/>
  <c r="AT24" i="9"/>
  <c r="AL24" i="9"/>
  <c r="AE18" i="9"/>
  <c r="AE17" i="9"/>
  <c r="AA20" i="9"/>
  <c r="AS24" i="9"/>
  <c r="AK24" i="9"/>
  <c r="AR24" i="9"/>
  <c r="AJ24" i="9"/>
  <c r="AY24" i="9"/>
  <c r="AQ24" i="9"/>
  <c r="AI24" i="9"/>
  <c r="AX24" i="9"/>
  <c r="AP24" i="9"/>
  <c r="AH24" i="9"/>
  <c r="AW24" i="9"/>
  <c r="AO24" i="9"/>
  <c r="AG24" i="9"/>
  <c r="AV24" i="9"/>
  <c r="AN24" i="9"/>
  <c r="BE4" i="9"/>
  <c r="G1" i="9"/>
  <c r="C10" i="9" l="1"/>
  <c r="C98" i="12" s="1"/>
  <c r="C4" i="9"/>
  <c r="C9" i="9"/>
  <c r="C11" i="9"/>
  <c r="P99" i="12" s="1"/>
  <c r="C12" i="9"/>
  <c r="C13" i="9"/>
  <c r="C14" i="9"/>
  <c r="C15" i="9"/>
  <c r="C16" i="9"/>
  <c r="C5" i="9"/>
  <c r="C6" i="9"/>
  <c r="C7" i="9"/>
  <c r="C8" i="9"/>
  <c r="G98" i="12"/>
  <c r="F98" i="12"/>
  <c r="P98" i="12"/>
  <c r="D98" i="12"/>
  <c r="B10" i="13" l="1"/>
  <c r="O98" i="12"/>
  <c r="H98" i="12"/>
  <c r="I98" i="12"/>
  <c r="J98" i="12"/>
  <c r="B98" i="12"/>
  <c r="K98" i="12"/>
  <c r="N98" i="12"/>
  <c r="L98" i="12"/>
  <c r="E98" i="12"/>
  <c r="M98" i="12"/>
  <c r="L99" i="12"/>
  <c r="G99" i="12"/>
  <c r="H99" i="12"/>
  <c r="B11" i="13"/>
  <c r="K99" i="12"/>
  <c r="I99" i="12"/>
  <c r="E99" i="12"/>
  <c r="J95" i="12"/>
  <c r="E95" i="12"/>
  <c r="P95" i="12"/>
  <c r="H95" i="12"/>
  <c r="L95" i="12"/>
  <c r="B95" i="12"/>
  <c r="I95" i="12"/>
  <c r="O95" i="12"/>
  <c r="C95" i="12"/>
  <c r="G95" i="12"/>
  <c r="K95" i="12"/>
  <c r="F95" i="12"/>
  <c r="D95" i="12"/>
  <c r="N95" i="12"/>
  <c r="M95" i="12"/>
  <c r="B7" i="13"/>
  <c r="P101" i="12"/>
  <c r="B101" i="12"/>
  <c r="N101" i="12"/>
  <c r="C101" i="12"/>
  <c r="O101" i="12"/>
  <c r="G101" i="12"/>
  <c r="D101" i="12"/>
  <c r="E101" i="12"/>
  <c r="H101" i="12"/>
  <c r="I101" i="12"/>
  <c r="K101" i="12"/>
  <c r="M101" i="12"/>
  <c r="F101" i="12"/>
  <c r="L101" i="12"/>
  <c r="J101" i="12"/>
  <c r="B13" i="13"/>
  <c r="F99" i="12"/>
  <c r="N99" i="12"/>
  <c r="M94" i="12"/>
  <c r="E94" i="12"/>
  <c r="F94" i="12"/>
  <c r="D94" i="12"/>
  <c r="H94" i="12"/>
  <c r="P94" i="12"/>
  <c r="L94" i="12"/>
  <c r="B94" i="12"/>
  <c r="J94" i="12"/>
  <c r="C94" i="12"/>
  <c r="I94" i="12"/>
  <c r="O94" i="12"/>
  <c r="K94" i="12"/>
  <c r="G94" i="12"/>
  <c r="N94" i="12"/>
  <c r="B6" i="13"/>
  <c r="G100" i="12"/>
  <c r="H100" i="12"/>
  <c r="B100" i="12"/>
  <c r="D100" i="12"/>
  <c r="J100" i="12"/>
  <c r="C100" i="12"/>
  <c r="O100" i="12"/>
  <c r="E100" i="12"/>
  <c r="F100" i="12"/>
  <c r="N100" i="12"/>
  <c r="I100" i="12"/>
  <c r="L100" i="12"/>
  <c r="M100" i="12"/>
  <c r="P100" i="12"/>
  <c r="K100" i="12"/>
  <c r="B12" i="13"/>
  <c r="P93" i="12"/>
  <c r="E93" i="12"/>
  <c r="H93" i="12"/>
  <c r="L93" i="12"/>
  <c r="N93" i="12"/>
  <c r="K93" i="12"/>
  <c r="D93" i="12"/>
  <c r="M93" i="12"/>
  <c r="I93" i="12"/>
  <c r="G93" i="12"/>
  <c r="B93" i="12"/>
  <c r="O93" i="12"/>
  <c r="F93" i="12"/>
  <c r="C93" i="12"/>
  <c r="J93" i="12"/>
  <c r="B5" i="13"/>
  <c r="M99" i="12"/>
  <c r="J99" i="12"/>
  <c r="G104" i="12"/>
  <c r="J104" i="12"/>
  <c r="M104" i="12"/>
  <c r="N104" i="12"/>
  <c r="C104" i="12"/>
  <c r="P104" i="12"/>
  <c r="I104" i="12"/>
  <c r="O104" i="12"/>
  <c r="H104" i="12"/>
  <c r="E104" i="12"/>
  <c r="B104" i="12"/>
  <c r="L104" i="12"/>
  <c r="F104" i="12"/>
  <c r="K104" i="12"/>
  <c r="D104" i="12"/>
  <c r="B16" i="13"/>
  <c r="P97" i="12"/>
  <c r="K97" i="12"/>
  <c r="I97" i="12"/>
  <c r="C97" i="12"/>
  <c r="O97" i="12"/>
  <c r="E97" i="12"/>
  <c r="J97" i="12"/>
  <c r="F97" i="12"/>
  <c r="B97" i="12"/>
  <c r="L97" i="12"/>
  <c r="M97" i="12"/>
  <c r="H97" i="12"/>
  <c r="D97" i="12"/>
  <c r="N97" i="12"/>
  <c r="G97" i="12"/>
  <c r="B9" i="13"/>
  <c r="C99" i="12"/>
  <c r="O99" i="12"/>
  <c r="J103" i="12"/>
  <c r="L103" i="12"/>
  <c r="O103" i="12"/>
  <c r="C103" i="12"/>
  <c r="N103" i="12"/>
  <c r="B103" i="12"/>
  <c r="D103" i="12"/>
  <c r="M103" i="12"/>
  <c r="P103" i="12"/>
  <c r="K103" i="12"/>
  <c r="H103" i="12"/>
  <c r="E103" i="12"/>
  <c r="I103" i="12"/>
  <c r="F103" i="12"/>
  <c r="G103" i="12"/>
  <c r="B15" i="13"/>
  <c r="G92" i="12"/>
  <c r="J92" i="12"/>
  <c r="C92" i="12"/>
  <c r="D92" i="12"/>
  <c r="E92" i="12"/>
  <c r="N92" i="12"/>
  <c r="P92" i="12"/>
  <c r="F92" i="12"/>
  <c r="H92" i="12"/>
  <c r="K92" i="12"/>
  <c r="O92" i="12"/>
  <c r="I92" i="12"/>
  <c r="M92" i="12"/>
  <c r="B92" i="12"/>
  <c r="L92" i="12"/>
  <c r="B4" i="13"/>
  <c r="B99" i="12"/>
  <c r="D99" i="12"/>
  <c r="G96" i="12"/>
  <c r="B96" i="12"/>
  <c r="P96" i="12"/>
  <c r="L96" i="12"/>
  <c r="J96" i="12"/>
  <c r="E96" i="12"/>
  <c r="C96" i="12"/>
  <c r="K96" i="12"/>
  <c r="M96" i="12"/>
  <c r="H96" i="12"/>
  <c r="N96" i="12"/>
  <c r="I96" i="12"/>
  <c r="D96" i="12"/>
  <c r="F96" i="12"/>
  <c r="O96" i="12"/>
  <c r="B8" i="13"/>
  <c r="M102" i="12"/>
  <c r="E102" i="12"/>
  <c r="N102" i="12"/>
  <c r="K102" i="12"/>
  <c r="B102" i="12"/>
  <c r="F102" i="12"/>
  <c r="D102" i="12"/>
  <c r="L102" i="12"/>
  <c r="J102" i="12"/>
  <c r="I102" i="12"/>
  <c r="O102" i="12"/>
  <c r="H102" i="12"/>
  <c r="C102" i="12"/>
  <c r="P102" i="12"/>
  <c r="G102" i="12"/>
  <c r="B14" i="13"/>
  <c r="D18" i="14" l="1"/>
  <c r="B15" i="9" s="1"/>
  <c r="D19" i="14"/>
  <c r="B16" i="9" s="1"/>
  <c r="A16" i="13" l="1"/>
  <c r="I16" i="9"/>
  <c r="A15" i="13"/>
  <c r="I15" i="9"/>
  <c r="V15" i="9" l="1"/>
  <c r="AE15" i="9"/>
  <c r="AE16" i="9"/>
  <c r="W16" i="9"/>
  <c r="D17" i="14"/>
  <c r="B14" i="9" s="1"/>
  <c r="A14" i="13" l="1"/>
  <c r="I14" i="9"/>
  <c r="U14" i="9" l="1"/>
  <c r="AE14" i="9"/>
  <c r="C3" i="9" l="1"/>
  <c r="O16" i="14"/>
  <c r="N15" i="14"/>
  <c r="N41" i="14" s="1"/>
  <c r="N42" i="14" s="1"/>
  <c r="M14" i="14"/>
  <c r="L13" i="14"/>
  <c r="K12" i="14"/>
  <c r="J11" i="14"/>
  <c r="I10" i="14"/>
  <c r="H9" i="14"/>
  <c r="G8" i="14"/>
  <c r="F7" i="14"/>
  <c r="E6" i="14"/>
  <c r="D10" i="14"/>
  <c r="B7" i="9" s="1"/>
  <c r="A7" i="13" l="1"/>
  <c r="I7" i="9"/>
  <c r="J91" i="12"/>
  <c r="J106" i="12" s="1"/>
  <c r="C91" i="12"/>
  <c r="C106" i="12" s="1"/>
  <c r="O91" i="12"/>
  <c r="O106" i="12" s="1"/>
  <c r="M91" i="12"/>
  <c r="M106" i="12" s="1"/>
  <c r="E91" i="12"/>
  <c r="E106" i="12" s="1"/>
  <c r="G91" i="12"/>
  <c r="G106" i="12" s="1"/>
  <c r="H91" i="12"/>
  <c r="H106" i="12" s="1"/>
  <c r="L91" i="12"/>
  <c r="L106" i="12" s="1"/>
  <c r="I91" i="12"/>
  <c r="I106" i="12" s="1"/>
  <c r="N91" i="12"/>
  <c r="N106" i="12" s="1"/>
  <c r="F91" i="12"/>
  <c r="F106" i="12" s="1"/>
  <c r="D91" i="12"/>
  <c r="D106" i="12" s="1"/>
  <c r="B91" i="12"/>
  <c r="B106" i="12" s="1"/>
  <c r="K91" i="12"/>
  <c r="K106" i="12" s="1"/>
  <c r="P91" i="12"/>
  <c r="P106" i="12" s="1"/>
  <c r="B3" i="13"/>
  <c r="BB1" i="9"/>
  <c r="D9" i="14"/>
  <c r="B6" i="9" s="1"/>
  <c r="D13" i="14"/>
  <c r="B10" i="9" s="1"/>
  <c r="AE7" i="9" l="1"/>
  <c r="N7" i="9"/>
  <c r="A6" i="13"/>
  <c r="I6" i="9"/>
  <c r="A10" i="13"/>
  <c r="I10" i="9"/>
  <c r="D16" i="14"/>
  <c r="B13" i="9" s="1"/>
  <c r="D14" i="14"/>
  <c r="B11" i="9" s="1"/>
  <c r="D15" i="14"/>
  <c r="B12" i="9" s="1"/>
  <c r="D11" i="14"/>
  <c r="B8" i="9" s="1"/>
  <c r="D8" i="14"/>
  <c r="B5" i="9" s="1"/>
  <c r="D7" i="14"/>
  <c r="B4" i="9" s="1"/>
  <c r="D6" i="14"/>
  <c r="B3" i="9" s="1"/>
  <c r="D12" i="14"/>
  <c r="B9" i="9" s="1"/>
  <c r="A5" i="13" l="1"/>
  <c r="I5" i="9"/>
  <c r="M6" i="9"/>
  <c r="AE6" i="9"/>
  <c r="A3" i="13"/>
  <c r="J2" i="9" a="1"/>
  <c r="I3" i="9"/>
  <c r="A4" i="13"/>
  <c r="I4" i="9"/>
  <c r="A11" i="13"/>
  <c r="I11" i="9"/>
  <c r="A8" i="13"/>
  <c r="I8" i="9"/>
  <c r="A9" i="13"/>
  <c r="I9" i="9"/>
  <c r="AE10" i="9"/>
  <c r="Q10" i="9"/>
  <c r="A12" i="13"/>
  <c r="I12" i="9"/>
  <c r="A13" i="13"/>
  <c r="I13" i="9"/>
  <c r="AE12" i="9" l="1"/>
  <c r="S12" i="9"/>
  <c r="AE4" i="9"/>
  <c r="K4" i="9"/>
  <c r="AE9" i="9"/>
  <c r="P9" i="9"/>
  <c r="J3" i="9"/>
  <c r="AE3" i="9"/>
  <c r="AE8" i="9"/>
  <c r="O8" i="9"/>
  <c r="K2" i="9"/>
  <c r="U2" i="9"/>
  <c r="Y2" i="9"/>
  <c r="M2" i="9"/>
  <c r="Q2" i="9"/>
  <c r="P2" i="9"/>
  <c r="X2" i="9"/>
  <c r="W2" i="9"/>
  <c r="O2" i="9"/>
  <c r="N2" i="9"/>
  <c r="AA2" i="9"/>
  <c r="AC2" i="9"/>
  <c r="S2" i="9"/>
  <c r="AB2" i="9"/>
  <c r="T2" i="9"/>
  <c r="L2" i="9"/>
  <c r="Z2" i="9"/>
  <c r="R2" i="9"/>
  <c r="J2" i="9"/>
  <c r="V2" i="9"/>
  <c r="AE11" i="9"/>
  <c r="R11" i="9"/>
  <c r="T13" i="9"/>
  <c r="AE13" i="9"/>
  <c r="L5" i="9"/>
  <c r="AE5" i="9"/>
  <c r="U9" i="9" l="1"/>
  <c r="AC9" i="9"/>
  <c r="AC7" i="9"/>
  <c r="AC11" i="9"/>
  <c r="AC8" i="9"/>
  <c r="AC5" i="9"/>
  <c r="AC3" i="9"/>
  <c r="AC4" i="9"/>
  <c r="AC10" i="9"/>
  <c r="AC6" i="9"/>
  <c r="AC14" i="9"/>
  <c r="AC19" i="9"/>
  <c r="AC17" i="9"/>
  <c r="AC21" i="9"/>
  <c r="AC18" i="9"/>
  <c r="AC12" i="9"/>
  <c r="AC16" i="9"/>
  <c r="AC13" i="9"/>
  <c r="AC15" i="9"/>
  <c r="AC20" i="9"/>
  <c r="AF2" i="9" a="1"/>
  <c r="AB7" i="9"/>
  <c r="AB8" i="9"/>
  <c r="AB6" i="9"/>
  <c r="AB4" i="9"/>
  <c r="AB3" i="9"/>
  <c r="AB9" i="9"/>
  <c r="AB11" i="9"/>
  <c r="AB10" i="9"/>
  <c r="AB5" i="9"/>
  <c r="AB17" i="9"/>
  <c r="AB20" i="9"/>
  <c r="AB16" i="9"/>
  <c r="AB19" i="9"/>
  <c r="AB15" i="9"/>
  <c r="AB18" i="9"/>
  <c r="AB12" i="9"/>
  <c r="AB14" i="9"/>
  <c r="AB13" i="9"/>
  <c r="AA10" i="9"/>
  <c r="AA9" i="9"/>
  <c r="AA11" i="9"/>
  <c r="AA3" i="9"/>
  <c r="AA8" i="9"/>
  <c r="AA4" i="9"/>
  <c r="AA5" i="9"/>
  <c r="AA6" i="9"/>
  <c r="AA7" i="9"/>
  <c r="AA16" i="9"/>
  <c r="AA13" i="9"/>
  <c r="AA17" i="9"/>
  <c r="AA18" i="9"/>
  <c r="AA14" i="9"/>
  <c r="AA15" i="9"/>
  <c r="AA19" i="9"/>
  <c r="AA12" i="9"/>
  <c r="X10" i="9"/>
  <c r="X3" i="9"/>
  <c r="X4" i="9"/>
  <c r="X11" i="9"/>
  <c r="X8" i="9"/>
  <c r="X9" i="9"/>
  <c r="X5" i="9"/>
  <c r="X16" i="9"/>
  <c r="X7" i="9"/>
  <c r="X6" i="9"/>
  <c r="X15" i="9"/>
  <c r="X13" i="9"/>
  <c r="X14" i="9"/>
  <c r="Z9" i="9"/>
  <c r="Z6" i="9"/>
  <c r="Z7" i="9"/>
  <c r="Z11" i="9"/>
  <c r="Z10" i="9"/>
  <c r="Z8" i="9"/>
  <c r="Z4" i="9"/>
  <c r="Z5" i="9"/>
  <c r="Z3" i="9"/>
  <c r="Z15" i="9"/>
  <c r="Z16" i="9"/>
  <c r="Z13" i="9"/>
  <c r="Z12" i="9"/>
  <c r="Z14" i="9"/>
  <c r="Z18" i="9"/>
  <c r="Z17" i="9"/>
  <c r="X12" i="9"/>
  <c r="Y10" i="9"/>
  <c r="Y3" i="9"/>
  <c r="Y8" i="9"/>
  <c r="Y7" i="9"/>
  <c r="Y9" i="9"/>
  <c r="Y11" i="9"/>
  <c r="Y6" i="9"/>
  <c r="Y5" i="9"/>
  <c r="Y4" i="9"/>
  <c r="Y17" i="9"/>
  <c r="Y15" i="9"/>
  <c r="Y13" i="9"/>
  <c r="Y12" i="9"/>
  <c r="Y16" i="9"/>
  <c r="Y14" i="9"/>
  <c r="AP2" i="9" l="1"/>
  <c r="AY2" i="9"/>
  <c r="AN2" i="9"/>
  <c r="AO2" i="9"/>
  <c r="AM2" i="9"/>
  <c r="AQ2" i="9"/>
  <c r="AH2" i="9"/>
  <c r="AF2" i="9"/>
  <c r="AR2" i="9"/>
  <c r="AK2" i="9"/>
  <c r="AI2" i="9"/>
  <c r="AJ2" i="9"/>
  <c r="AV2" i="9"/>
  <c r="AL2" i="9"/>
  <c r="AS2" i="9"/>
  <c r="AT2" i="9"/>
  <c r="AG2" i="9"/>
  <c r="AU2" i="9"/>
  <c r="AX2" i="9"/>
  <c r="AW2" i="9"/>
  <c r="AJ17" i="9" l="1"/>
  <c r="AJ18" i="9"/>
  <c r="AJ20" i="9"/>
  <c r="AJ22" i="9"/>
  <c r="AJ19" i="9"/>
  <c r="AJ21" i="9"/>
  <c r="AI22" i="9"/>
  <c r="AI17" i="9"/>
  <c r="AI19" i="9"/>
  <c r="AI21" i="9"/>
  <c r="AI20" i="9"/>
  <c r="AI18" i="9"/>
  <c r="AK18" i="9"/>
  <c r="AK22" i="9"/>
  <c r="AK21" i="9"/>
  <c r="AK20" i="9"/>
  <c r="AK19" i="9"/>
  <c r="AK17" i="9"/>
  <c r="AU6" i="9"/>
  <c r="AU17" i="9"/>
  <c r="AU20" i="9"/>
  <c r="AU22" i="9"/>
  <c r="AU21" i="9"/>
  <c r="AU19" i="9"/>
  <c r="AU18" i="9"/>
  <c r="AU16" i="9"/>
  <c r="AU15" i="9"/>
  <c r="AU14" i="9"/>
  <c r="AU7" i="9"/>
  <c r="AU10" i="9"/>
  <c r="AU8" i="9"/>
  <c r="AU11" i="9"/>
  <c r="AU3" i="9"/>
  <c r="AU23" i="9" s="1"/>
  <c r="AU5" i="9"/>
  <c r="AU13" i="9"/>
  <c r="AU4" i="9"/>
  <c r="AU9" i="9"/>
  <c r="AU12" i="9"/>
  <c r="AQ19" i="9"/>
  <c r="AQ20" i="9"/>
  <c r="AQ17" i="9"/>
  <c r="AQ18" i="9"/>
  <c r="AQ22" i="9"/>
  <c r="AQ21" i="9"/>
  <c r="AG22" i="9"/>
  <c r="AG21" i="9"/>
  <c r="AG19" i="9"/>
  <c r="AG20" i="9"/>
  <c r="AG17" i="9"/>
  <c r="AG18" i="9"/>
  <c r="AM21" i="9"/>
  <c r="AM18" i="9"/>
  <c r="AM22" i="9"/>
  <c r="AM20" i="9"/>
  <c r="AM19" i="9"/>
  <c r="AM17" i="9"/>
  <c r="AH20" i="9"/>
  <c r="AH21" i="9"/>
  <c r="AH22" i="9"/>
  <c r="AH18" i="9"/>
  <c r="AH19" i="9"/>
  <c r="AH17" i="9"/>
  <c r="AT7" i="9"/>
  <c r="AT21" i="9"/>
  <c r="AT19" i="9"/>
  <c r="AT20" i="9"/>
  <c r="AT22" i="9"/>
  <c r="AT18" i="9"/>
  <c r="AT17" i="9"/>
  <c r="AT15" i="9"/>
  <c r="AT16" i="9"/>
  <c r="AT14" i="9"/>
  <c r="AT6" i="9"/>
  <c r="AT10" i="9"/>
  <c r="AT13" i="9"/>
  <c r="AT9" i="9"/>
  <c r="AT12" i="9"/>
  <c r="AT8" i="9"/>
  <c r="AT5" i="9"/>
  <c r="AT3" i="9"/>
  <c r="AT23" i="9" s="1"/>
  <c r="AT4" i="9"/>
  <c r="AT11" i="9"/>
  <c r="AO21" i="9"/>
  <c r="AO22" i="9"/>
  <c r="AO17" i="9"/>
  <c r="AO19" i="9"/>
  <c r="AO20" i="9"/>
  <c r="AO18" i="9"/>
  <c r="AX20" i="9"/>
  <c r="AX21" i="9"/>
  <c r="AX22" i="9"/>
  <c r="AX19" i="9"/>
  <c r="AX18" i="9"/>
  <c r="AX17" i="9"/>
  <c r="AX15" i="9"/>
  <c r="AX16" i="9"/>
  <c r="AX14" i="9"/>
  <c r="AX7" i="9"/>
  <c r="AX6" i="9"/>
  <c r="AX10" i="9"/>
  <c r="AX13" i="9"/>
  <c r="AX4" i="9"/>
  <c r="AX8" i="9"/>
  <c r="AX9" i="9"/>
  <c r="AX3" i="9"/>
  <c r="AX23" i="9" s="1"/>
  <c r="AX5" i="9"/>
  <c r="AX11" i="9"/>
  <c r="AX12" i="9"/>
  <c r="AS17" i="9"/>
  <c r="AS18" i="9"/>
  <c r="AS22" i="9"/>
  <c r="AS20" i="9"/>
  <c r="AS19" i="9"/>
  <c r="AS21" i="9"/>
  <c r="AN21" i="9"/>
  <c r="AN20" i="9"/>
  <c r="AN19" i="9"/>
  <c r="AN22" i="9"/>
  <c r="AN18" i="9"/>
  <c r="AN17" i="9"/>
  <c r="AF22" i="9"/>
  <c r="AF20" i="9"/>
  <c r="AF18" i="9"/>
  <c r="AF19" i="9"/>
  <c r="AF21" i="9"/>
  <c r="AF17" i="9"/>
  <c r="AL18" i="9"/>
  <c r="AL17" i="9"/>
  <c r="AL22" i="9"/>
  <c r="AL21" i="9"/>
  <c r="AL20" i="9"/>
  <c r="AL19" i="9"/>
  <c r="AY22" i="9"/>
  <c r="AY21" i="9"/>
  <c r="AY20" i="9"/>
  <c r="AY17" i="9"/>
  <c r="AY19" i="9"/>
  <c r="AY18" i="9"/>
  <c r="AY16" i="9"/>
  <c r="AY15" i="9"/>
  <c r="AY14" i="9"/>
  <c r="AY7" i="9"/>
  <c r="AY6" i="9"/>
  <c r="AY10" i="9"/>
  <c r="AY5" i="9"/>
  <c r="AY4" i="9"/>
  <c r="AY8" i="9"/>
  <c r="AY13" i="9"/>
  <c r="AY9" i="9"/>
  <c r="AY11" i="9"/>
  <c r="AY3" i="9"/>
  <c r="AY23" i="9" s="1"/>
  <c r="AY12" i="9"/>
  <c r="AR22" i="9"/>
  <c r="AR17" i="9"/>
  <c r="AR18" i="9"/>
  <c r="AR21" i="9"/>
  <c r="AR19" i="9"/>
  <c r="AR20" i="9"/>
  <c r="AW11" i="9"/>
  <c r="AW17" i="9"/>
  <c r="AW21" i="9"/>
  <c r="AW22" i="9"/>
  <c r="AW19" i="9"/>
  <c r="AW18" i="9"/>
  <c r="AW20" i="9"/>
  <c r="AW15" i="9"/>
  <c r="AW16" i="9"/>
  <c r="AW14" i="9"/>
  <c r="AW7" i="9"/>
  <c r="AW6" i="9"/>
  <c r="AW10" i="9"/>
  <c r="AW12" i="9"/>
  <c r="AW5" i="9"/>
  <c r="AW13" i="9"/>
  <c r="AW9" i="9"/>
  <c r="AW3" i="9"/>
  <c r="AW23" i="9" s="1"/>
  <c r="AW8" i="9"/>
  <c r="AW4" i="9"/>
  <c r="AV5" i="9"/>
  <c r="AV19" i="9"/>
  <c r="AV22" i="9"/>
  <c r="AV21" i="9"/>
  <c r="AV20" i="9"/>
  <c r="AV17" i="9"/>
  <c r="AV18" i="9"/>
  <c r="AV15" i="9"/>
  <c r="AV16" i="9"/>
  <c r="AV14" i="9"/>
  <c r="AV7" i="9"/>
  <c r="AV10" i="9"/>
  <c r="AV6" i="9"/>
  <c r="AV3" i="9"/>
  <c r="AV23" i="9" s="1"/>
  <c r="AV9" i="9"/>
  <c r="AV12" i="9"/>
  <c r="AV11" i="9"/>
  <c r="AV4" i="9"/>
  <c r="AV8" i="9"/>
  <c r="AV13" i="9"/>
  <c r="AP18" i="9"/>
  <c r="AP20" i="9"/>
  <c r="AP19" i="9"/>
  <c r="AP22" i="9"/>
  <c r="AP21" i="9"/>
  <c r="AP17" i="9"/>
  <c r="D3" i="9" l="1"/>
  <c r="C3" i="13" l="1"/>
  <c r="AF3" i="9"/>
  <c r="E9" i="14" l="1"/>
  <c r="J6" i="9" s="1"/>
  <c r="M3" i="9" l="1"/>
  <c r="D6" i="9"/>
  <c r="AI3" i="9" l="1"/>
  <c r="C6" i="13"/>
  <c r="AI6" i="9"/>
  <c r="AF6" i="9"/>
  <c r="H10" i="14" l="1"/>
  <c r="M7" i="9" s="1"/>
  <c r="E10" i="14"/>
  <c r="J7" i="9" s="1"/>
  <c r="N3" i="9" l="1"/>
  <c r="N6" i="9"/>
  <c r="D7" i="9"/>
  <c r="C7" i="13" l="1"/>
  <c r="AJ7" i="9"/>
  <c r="AI7" i="9"/>
  <c r="AJ6" i="9"/>
  <c r="AF7" i="9"/>
  <c r="AJ3" i="9"/>
  <c r="F9" i="14" l="1"/>
  <c r="K6" i="9" s="1"/>
  <c r="E7" i="14"/>
  <c r="J4" i="9" s="1"/>
  <c r="D4" i="9"/>
  <c r="F10" i="14"/>
  <c r="K7" i="9" s="1"/>
  <c r="N4" i="9" s="1"/>
  <c r="AJ4" i="9" l="1"/>
  <c r="AG7" i="9"/>
  <c r="C4" i="13"/>
  <c r="AG4" i="9"/>
  <c r="K3" i="9"/>
  <c r="AG3" i="9" s="1"/>
  <c r="AF4" i="9"/>
  <c r="M4" i="9"/>
  <c r="AI4" i="9" s="1"/>
  <c r="AG6" i="9"/>
  <c r="E8" i="14" l="1"/>
  <c r="J5" i="9" s="1"/>
  <c r="G10" i="14"/>
  <c r="L7" i="9" s="1"/>
  <c r="G9" i="14"/>
  <c r="L6" i="9" s="1"/>
  <c r="D5" i="9"/>
  <c r="F8" i="14"/>
  <c r="K5" i="9" s="1"/>
  <c r="L4" i="9" s="1"/>
  <c r="AH4" i="9" l="1"/>
  <c r="L3" i="9"/>
  <c r="AH3" i="9" s="1"/>
  <c r="AF5" i="9"/>
  <c r="M5" i="9"/>
  <c r="AI5" i="9" s="1"/>
  <c r="AH6" i="9"/>
  <c r="N5" i="9"/>
  <c r="AJ5" i="9" s="1"/>
  <c r="AH7" i="9"/>
  <c r="AG5" i="9"/>
  <c r="C5" i="13"/>
  <c r="AH5" i="9"/>
  <c r="G18" i="14"/>
  <c r="L15" i="9" s="1"/>
  <c r="H18" i="14"/>
  <c r="M15" i="9" s="1"/>
  <c r="V6" i="9" s="1"/>
  <c r="Q18" i="14"/>
  <c r="I18" i="14"/>
  <c r="N15" i="9" s="1"/>
  <c r="E18" i="14"/>
  <c r="J15" i="9" s="1"/>
  <c r="F18" i="14"/>
  <c r="K15" i="9" s="1"/>
  <c r="I19" i="14"/>
  <c r="N16" i="9" s="1"/>
  <c r="V4" i="9" l="1"/>
  <c r="V5" i="9"/>
  <c r="V3" i="9"/>
  <c r="V7" i="9"/>
  <c r="W7" i="9"/>
  <c r="D15" i="9"/>
  <c r="AH15" i="9" s="1"/>
  <c r="F19" i="14"/>
  <c r="K16" i="9" s="1"/>
  <c r="H19" i="14"/>
  <c r="M16" i="9" s="1"/>
  <c r="W6" i="9" s="1"/>
  <c r="E19" i="14"/>
  <c r="J16" i="9" s="1"/>
  <c r="G19" i="14"/>
  <c r="L16" i="9" s="1"/>
  <c r="Q19" i="14"/>
  <c r="V16" i="9" s="1"/>
  <c r="O19" i="14"/>
  <c r="T16" i="9" s="1"/>
  <c r="R19" i="14"/>
  <c r="O18" i="14"/>
  <c r="T15" i="9" s="1"/>
  <c r="F16" i="14"/>
  <c r="K13" i="9" s="1"/>
  <c r="E16" i="14"/>
  <c r="J13" i="9" s="1"/>
  <c r="G16" i="14"/>
  <c r="L13" i="9" s="1"/>
  <c r="T5" i="9" s="1"/>
  <c r="I16" i="14"/>
  <c r="N13" i="9" s="1"/>
  <c r="H16" i="14"/>
  <c r="M13" i="9" s="1"/>
  <c r="AR6" i="9" l="1"/>
  <c r="W4" i="9"/>
  <c r="V13" i="9"/>
  <c r="AJ15" i="9"/>
  <c r="AF15" i="9"/>
  <c r="T4" i="9"/>
  <c r="AR7" i="9"/>
  <c r="AR3" i="9"/>
  <c r="W13" i="9"/>
  <c r="AI15" i="9"/>
  <c r="AR15" i="9"/>
  <c r="C15" i="13"/>
  <c r="T6" i="9"/>
  <c r="W15" i="9"/>
  <c r="AR5" i="9"/>
  <c r="T7" i="9"/>
  <c r="W5" i="9"/>
  <c r="AG15" i="9"/>
  <c r="T3" i="9"/>
  <c r="W3" i="9"/>
  <c r="AR4" i="9"/>
  <c r="D16" i="9"/>
  <c r="AS7" i="9" s="1"/>
  <c r="D13" i="9"/>
  <c r="AP15" i="9" s="1"/>
  <c r="AS15" i="9" l="1"/>
  <c r="AR16" i="9"/>
  <c r="AP7" i="9"/>
  <c r="AS13" i="9"/>
  <c r="AP5" i="9"/>
  <c r="AF16" i="9"/>
  <c r="AF13" i="9"/>
  <c r="AG13" i="9"/>
  <c r="AP4" i="9"/>
  <c r="AP3" i="9"/>
  <c r="AI13" i="9"/>
  <c r="AH13" i="9"/>
  <c r="C13" i="13"/>
  <c r="AP13" i="9"/>
  <c r="AP6" i="9"/>
  <c r="AH16" i="9"/>
  <c r="AR13" i="9"/>
  <c r="AI16" i="9"/>
  <c r="C16" i="13"/>
  <c r="AS16" i="9"/>
  <c r="AJ16" i="9"/>
  <c r="AS5" i="9"/>
  <c r="AS6" i="9"/>
  <c r="AG16" i="9"/>
  <c r="AS3" i="9"/>
  <c r="AJ13" i="9"/>
  <c r="AP16" i="9"/>
  <c r="AS4" i="9"/>
  <c r="H17" i="14" l="1"/>
  <c r="M14" i="9" s="1"/>
  <c r="I17" i="14"/>
  <c r="N14" i="9" s="1"/>
  <c r="E17" i="14"/>
  <c r="J14" i="9" s="1"/>
  <c r="P17" i="14"/>
  <c r="F17" i="14"/>
  <c r="K14" i="9" s="1"/>
  <c r="P18" i="14"/>
  <c r="U15" i="9" s="1"/>
  <c r="G17" i="14"/>
  <c r="L14" i="9" s="1"/>
  <c r="P19" i="14"/>
  <c r="U16" i="9" s="1"/>
  <c r="W14" i="9" s="1"/>
  <c r="O17" i="14"/>
  <c r="T14" i="9" s="1"/>
  <c r="U5" i="9" l="1"/>
  <c r="U13" i="9"/>
  <c r="V14" i="9"/>
  <c r="U4" i="9"/>
  <c r="U3" i="9"/>
  <c r="U7" i="9"/>
  <c r="U6" i="9"/>
  <c r="D14" i="9"/>
  <c r="AF14" i="9" s="1"/>
  <c r="F13" i="14"/>
  <c r="K10" i="9" s="1"/>
  <c r="AQ7" i="9" l="1"/>
  <c r="AQ3" i="9"/>
  <c r="AQ16" i="9"/>
  <c r="C14" i="13"/>
  <c r="AQ14" i="9"/>
  <c r="AQ4" i="9"/>
  <c r="AS14" i="9"/>
  <c r="AQ15" i="9"/>
  <c r="AR14" i="9"/>
  <c r="Q4" i="9"/>
  <c r="AP14" i="9"/>
  <c r="AI14" i="9"/>
  <c r="AQ13" i="9"/>
  <c r="AG14" i="9"/>
  <c r="AQ6" i="9"/>
  <c r="AH14" i="9"/>
  <c r="AJ14" i="9"/>
  <c r="AQ5" i="9"/>
  <c r="G13" i="14"/>
  <c r="L10" i="9" s="1"/>
  <c r="E13" i="14"/>
  <c r="J10" i="9" s="1"/>
  <c r="I13" i="14"/>
  <c r="N10" i="9" s="1"/>
  <c r="H13" i="14"/>
  <c r="M10" i="9" s="1"/>
  <c r="L17" i="14"/>
  <c r="Q14" i="9" s="1"/>
  <c r="L19" i="14"/>
  <c r="Q16" i="9" s="1"/>
  <c r="I15" i="14"/>
  <c r="L18" i="14"/>
  <c r="Q15" i="9" s="1"/>
  <c r="N19" i="14"/>
  <c r="S16" i="9" s="1"/>
  <c r="N18" i="14"/>
  <c r="S15" i="9" s="1"/>
  <c r="N17" i="14"/>
  <c r="S14" i="9" s="1"/>
  <c r="N16" i="14"/>
  <c r="S13" i="9" s="1"/>
  <c r="T12" i="9" s="1"/>
  <c r="G15" i="14"/>
  <c r="L12" i="9" s="1"/>
  <c r="E15" i="14"/>
  <c r="F15" i="14"/>
  <c r="L15" i="14"/>
  <c r="L16" i="14"/>
  <c r="Q13" i="9" s="1"/>
  <c r="H15" i="14"/>
  <c r="Q6" i="9" l="1"/>
  <c r="E41" i="14"/>
  <c r="E42" i="14" s="1"/>
  <c r="J12" i="9"/>
  <c r="Q7" i="9"/>
  <c r="W12" i="9"/>
  <c r="V12" i="9"/>
  <c r="M12" i="9"/>
  <c r="H41" i="14"/>
  <c r="H42" i="14" s="1"/>
  <c r="S5" i="9"/>
  <c r="V10" i="9"/>
  <c r="Q3" i="9"/>
  <c r="Q5" i="9"/>
  <c r="T10" i="9"/>
  <c r="I41" i="14"/>
  <c r="I42" i="14" s="1"/>
  <c r="N12" i="9"/>
  <c r="U12" i="9"/>
  <c r="L41" i="14"/>
  <c r="L42" i="14" s="1"/>
  <c r="Q12" i="9"/>
  <c r="W10" i="9"/>
  <c r="F41" i="14"/>
  <c r="F42" i="14" s="1"/>
  <c r="K12" i="9"/>
  <c r="U10" i="9"/>
  <c r="D10" i="9"/>
  <c r="AJ10" i="9" s="1"/>
  <c r="D12" i="9"/>
  <c r="AO16" i="9" s="1"/>
  <c r="G14" i="14"/>
  <c r="L11" i="9" s="1"/>
  <c r="M17" i="14"/>
  <c r="R14" i="9" s="1"/>
  <c r="I14" i="14"/>
  <c r="N11" i="9" s="1"/>
  <c r="R7" i="9" s="1"/>
  <c r="E14" i="14"/>
  <c r="J11" i="9" s="1"/>
  <c r="H14" i="14"/>
  <c r="M11" i="9" s="1"/>
  <c r="M15" i="14"/>
  <c r="L14" i="14"/>
  <c r="Q11" i="9" s="1"/>
  <c r="M19" i="14"/>
  <c r="R16" i="9" s="1"/>
  <c r="M16" i="14"/>
  <c r="R13" i="9" s="1"/>
  <c r="M18" i="14"/>
  <c r="R15" i="9" s="1"/>
  <c r="F14" i="14"/>
  <c r="K11" i="9" s="1"/>
  <c r="K16" i="14"/>
  <c r="P13" i="9" s="1"/>
  <c r="T9" i="9" s="1"/>
  <c r="AR12" i="9" l="1"/>
  <c r="AP12" i="9"/>
  <c r="AS12" i="9"/>
  <c r="AM14" i="9"/>
  <c r="S6" i="9"/>
  <c r="AO6" i="9" s="1"/>
  <c r="AI12" i="9"/>
  <c r="R6" i="9"/>
  <c r="AO13" i="9"/>
  <c r="AO12" i="9"/>
  <c r="C12" i="13"/>
  <c r="AM13" i="9"/>
  <c r="AO15" i="9"/>
  <c r="M41" i="14"/>
  <c r="M42" i="14" s="1"/>
  <c r="R12" i="9"/>
  <c r="S4" i="9"/>
  <c r="AO4" i="9" s="1"/>
  <c r="AG12" i="9"/>
  <c r="AP10" i="9"/>
  <c r="AH10" i="9"/>
  <c r="S10" i="9"/>
  <c r="AO10" i="9" s="1"/>
  <c r="AM12" i="9"/>
  <c r="AM3" i="9"/>
  <c r="AQ10" i="9"/>
  <c r="C10" i="13"/>
  <c r="AM10" i="9"/>
  <c r="AG10" i="9"/>
  <c r="U11" i="9"/>
  <c r="AM15" i="9"/>
  <c r="AM7" i="9"/>
  <c r="AF10" i="9"/>
  <c r="V11" i="9"/>
  <c r="AR10" i="9"/>
  <c r="S3" i="9"/>
  <c r="AO3" i="9" s="1"/>
  <c r="AF12" i="9"/>
  <c r="R3" i="9"/>
  <c r="AM16" i="9"/>
  <c r="AM5" i="9"/>
  <c r="AS10" i="9"/>
  <c r="R4" i="9"/>
  <c r="R5" i="9"/>
  <c r="AO14" i="9"/>
  <c r="T11" i="9"/>
  <c r="AQ12" i="9"/>
  <c r="AH12" i="9"/>
  <c r="W11" i="9"/>
  <c r="AM4" i="9"/>
  <c r="AO5" i="9"/>
  <c r="AI10" i="9"/>
  <c r="R10" i="9"/>
  <c r="S7" i="9"/>
  <c r="AO7" i="9" s="1"/>
  <c r="AJ12" i="9"/>
  <c r="AM6" i="9"/>
  <c r="D11" i="9"/>
  <c r="AN15" i="9" s="1"/>
  <c r="D9" i="9"/>
  <c r="K19" i="14"/>
  <c r="P16" i="9" s="1"/>
  <c r="H12" i="14"/>
  <c r="M9" i="9" s="1"/>
  <c r="G12" i="14"/>
  <c r="L9" i="9" s="1"/>
  <c r="F12" i="14"/>
  <c r="K9" i="9" s="1"/>
  <c r="J12" i="14"/>
  <c r="O9" i="9" s="1"/>
  <c r="P8" i="9" s="1"/>
  <c r="K18" i="14"/>
  <c r="P15" i="9" s="1"/>
  <c r="K13" i="14"/>
  <c r="P10" i="9" s="1"/>
  <c r="K14" i="14"/>
  <c r="P11" i="9" s="1"/>
  <c r="E12" i="14"/>
  <c r="J9" i="9" s="1"/>
  <c r="K15" i="14"/>
  <c r="I12" i="14"/>
  <c r="N9" i="9" s="1"/>
  <c r="G11" i="14"/>
  <c r="L8" i="9" s="1"/>
  <c r="F11" i="14"/>
  <c r="K8" i="9" s="1"/>
  <c r="H11" i="14"/>
  <c r="M8" i="9" s="1"/>
  <c r="E11" i="14"/>
  <c r="J8" i="9" s="1"/>
  <c r="I11" i="14"/>
  <c r="N8" i="9" s="1"/>
  <c r="J14" i="14"/>
  <c r="O11" i="9" s="1"/>
  <c r="J18" i="14"/>
  <c r="O15" i="9" s="1"/>
  <c r="J17" i="14"/>
  <c r="O14" i="9" s="1"/>
  <c r="J16" i="14"/>
  <c r="O13" i="9" s="1"/>
  <c r="J19" i="14"/>
  <c r="O16" i="9" s="1"/>
  <c r="J15" i="14"/>
  <c r="J13" i="14"/>
  <c r="O10" i="9" s="1"/>
  <c r="AN13" i="9" l="1"/>
  <c r="AF11" i="9"/>
  <c r="AS11" i="9"/>
  <c r="AN3" i="9"/>
  <c r="AP11" i="9"/>
  <c r="AN14" i="9"/>
  <c r="AQ11" i="9"/>
  <c r="O4" i="9"/>
  <c r="P6" i="9"/>
  <c r="AL6" i="9" s="1"/>
  <c r="AI9" i="9"/>
  <c r="W8" i="9"/>
  <c r="W9" i="9"/>
  <c r="AS9" i="9" s="1"/>
  <c r="AL16" i="9"/>
  <c r="AM11" i="9"/>
  <c r="T8" i="9"/>
  <c r="P7" i="9"/>
  <c r="AL7" i="9" s="1"/>
  <c r="AJ9" i="9"/>
  <c r="AL13" i="9"/>
  <c r="AQ9" i="9"/>
  <c r="C9" i="13"/>
  <c r="AL9" i="9"/>
  <c r="AL14" i="9"/>
  <c r="AN10" i="9"/>
  <c r="AH11" i="9"/>
  <c r="Q8" i="9"/>
  <c r="P12" i="9"/>
  <c r="K41" i="14"/>
  <c r="K42" i="14" s="1"/>
  <c r="AJ11" i="9"/>
  <c r="AN11" i="9"/>
  <c r="C11" i="13"/>
  <c r="AP9" i="9"/>
  <c r="AN5" i="9"/>
  <c r="AR11" i="9"/>
  <c r="P4" i="9"/>
  <c r="AL4" i="9" s="1"/>
  <c r="AG9" i="9"/>
  <c r="O12" i="9"/>
  <c r="J41" i="14"/>
  <c r="J42" i="14" s="1"/>
  <c r="V8" i="9"/>
  <c r="P3" i="9"/>
  <c r="AL3" i="9" s="1"/>
  <c r="AF9" i="9"/>
  <c r="AG11" i="9"/>
  <c r="AI11" i="9"/>
  <c r="P5" i="9"/>
  <c r="AL5" i="9" s="1"/>
  <c r="AH9" i="9"/>
  <c r="R8" i="9"/>
  <c r="R9" i="9"/>
  <c r="AN9" i="9" s="1"/>
  <c r="AL11" i="9"/>
  <c r="AN4" i="9"/>
  <c r="AN7" i="9"/>
  <c r="AN6" i="9"/>
  <c r="O6" i="9"/>
  <c r="S11" i="9"/>
  <c r="AO11" i="9" s="1"/>
  <c r="AN12" i="9"/>
  <c r="U8" i="9"/>
  <c r="Q9" i="9"/>
  <c r="AM9" i="9" s="1"/>
  <c r="AL10" i="9"/>
  <c r="O3" i="9"/>
  <c r="O5" i="9"/>
  <c r="O7" i="9"/>
  <c r="V9" i="9"/>
  <c r="AR9" i="9" s="1"/>
  <c r="AL15" i="9"/>
  <c r="AN16" i="9"/>
  <c r="D8" i="9"/>
  <c r="AI8" i="9" s="1"/>
  <c r="AI23" i="9" l="1"/>
  <c r="AP8" i="9"/>
  <c r="AP23" i="9" s="1"/>
  <c r="AF8" i="9"/>
  <c r="AF23" i="9" s="1"/>
  <c r="AM8" i="9"/>
  <c r="AM23" i="9" s="1"/>
  <c r="AL8" i="9"/>
  <c r="AR8" i="9"/>
  <c r="AR23" i="9" s="1"/>
  <c r="AK11" i="9"/>
  <c r="AN8" i="9"/>
  <c r="AN23" i="9" s="1"/>
  <c r="AK7" i="9"/>
  <c r="AK13" i="9"/>
  <c r="AK14" i="9"/>
  <c r="AK10" i="9"/>
  <c r="AK3" i="9"/>
  <c r="AQ8" i="9"/>
  <c r="AQ23" i="9" s="1"/>
  <c r="AL12" i="9"/>
  <c r="S9" i="9"/>
  <c r="AO9" i="9" s="1"/>
  <c r="AK16" i="9"/>
  <c r="AS8" i="9"/>
  <c r="AS23" i="9" s="1"/>
  <c r="AJ8" i="9"/>
  <c r="AJ23" i="9" s="1"/>
  <c r="S8" i="9"/>
  <c r="AO8" i="9" s="1"/>
  <c r="AK12" i="9"/>
  <c r="AK6" i="9"/>
  <c r="AK9" i="9"/>
  <c r="AK8" i="9"/>
  <c r="C8" i="13"/>
  <c r="AH8" i="9"/>
  <c r="AH23" i="9" s="1"/>
  <c r="AG8" i="9"/>
  <c r="AG23" i="9" s="1"/>
  <c r="AK5" i="9"/>
  <c r="AK15" i="9"/>
  <c r="AK4" i="9"/>
  <c r="AO23" i="9" l="1"/>
  <c r="AL23" i="9"/>
  <c r="AK23" i="9"/>
  <c r="BB2" i="9" l="1"/>
  <c r="BB3" i="9" s="1"/>
</calcChain>
</file>

<file path=xl/sharedStrings.xml><?xml version="1.0" encoding="utf-8"?>
<sst xmlns="http://schemas.openxmlformats.org/spreadsheetml/2006/main" count="60" uniqueCount="46">
  <si>
    <t>Expected Returns</t>
  </si>
  <si>
    <t>Standard Deviation</t>
  </si>
  <si>
    <t>Returns</t>
  </si>
  <si>
    <t>Slope</t>
  </si>
  <si>
    <t>Weights</t>
  </si>
  <si>
    <t>Upper Limit</t>
  </si>
  <si>
    <t>Lower Limit</t>
  </si>
  <si>
    <t>Expected Return</t>
  </si>
  <si>
    <t>Weighted</t>
  </si>
  <si>
    <t>Covar Matrix</t>
  </si>
  <si>
    <t>RfR</t>
  </si>
  <si>
    <t>Std Dev</t>
  </si>
  <si>
    <t>Target</t>
  </si>
  <si>
    <t>Min</t>
  </si>
  <si>
    <t>Max</t>
  </si>
  <si>
    <t>Return Data</t>
  </si>
  <si>
    <t>Asset Name</t>
  </si>
  <si>
    <t>Correlation Data</t>
  </si>
  <si>
    <t>Weight</t>
  </si>
  <si>
    <t>Error?</t>
  </si>
  <si>
    <t>Timberland</t>
  </si>
  <si>
    <t>Row Crops</t>
  </si>
  <si>
    <t>Fixed Income</t>
  </si>
  <si>
    <t>hypo</t>
  </si>
  <si>
    <t>vs Public Equities</t>
  </si>
  <si>
    <t xml:space="preserve">  Using Unsmoothed Data</t>
  </si>
  <si>
    <t xml:space="preserve">  With Manual Override</t>
  </si>
  <si>
    <t xml:space="preserve">  Manual Change</t>
  </si>
  <si>
    <t>Opp RE</t>
  </si>
  <si>
    <t>C+ Infra</t>
  </si>
  <si>
    <t>VA RE</t>
  </si>
  <si>
    <t>REITs</t>
  </si>
  <si>
    <t>Correlations - Desmoothed</t>
  </si>
  <si>
    <t>US Core RE</t>
  </si>
  <si>
    <t>Euro Core</t>
  </si>
  <si>
    <t>Asia Core</t>
  </si>
  <si>
    <t>US Core Plus RE</t>
  </si>
  <si>
    <t>Infra</t>
  </si>
  <si>
    <t>Perm Crops</t>
  </si>
  <si>
    <t>US Public Eq</t>
  </si>
  <si>
    <t>NCPREC</t>
  </si>
  <si>
    <t>US Core+ RE</t>
  </si>
  <si>
    <t>Euro Core RE</t>
  </si>
  <si>
    <t>Asia Core RE</t>
  </si>
  <si>
    <t>Reoriented Data for Labels</t>
  </si>
  <si>
    <t>RA-Only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</si>
</sst>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00%"/>
    <numFmt numFmtId="166" formatCode="0.000%"/>
    <numFmt numFmtId="167" formatCode="0.0000%"/>
    <numFmt numFmtId="168" formatCode="0.000000%"/>
    <numFmt numFmtId="169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E8ECEC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 val="singleAccounting"/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hair">
        <color theme="2" tint="-0.2499465926084170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hair">
        <color theme="2" tint="-0.24994659260841701"/>
      </right>
      <top/>
      <bottom style="hair">
        <color auto="1"/>
      </bottom>
      <diagonal/>
    </border>
    <border>
      <left style="thin">
        <color auto="1"/>
      </left>
      <right style="hair">
        <color theme="2" tint="-0.2499465926084170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99">
    <xf numFmtId="0" fontId="0" fillId="0" borderId="0" xfId="0"/>
    <xf numFmtId="10" fontId="0" fillId="0" borderId="0" xfId="0" applyNumberFormat="1"/>
    <xf numFmtId="0" fontId="0" fillId="0" borderId="0" xfId="0" applyAlignment="1" applyProtection="1">
      <alignment horizontal="center" shrinkToFit="1"/>
      <protection hidden="1"/>
    </xf>
    <xf numFmtId="0" fontId="0" fillId="0" borderId="0" xfId="0" applyAlignment="1" applyProtection="1">
      <alignment shrinkToFit="1"/>
      <protection hidden="1"/>
    </xf>
    <xf numFmtId="0" fontId="0" fillId="0" borderId="1" xfId="0" applyBorder="1" applyAlignment="1" applyProtection="1">
      <alignment shrinkToFit="1"/>
      <protection hidden="1"/>
    </xf>
    <xf numFmtId="10" fontId="0" fillId="0" borderId="0" xfId="0" applyNumberFormat="1" applyAlignment="1" applyProtection="1">
      <alignment shrinkToFit="1"/>
      <protection hidden="1"/>
    </xf>
    <xf numFmtId="164" fontId="0" fillId="0" borderId="1" xfId="0" applyNumberFormat="1" applyBorder="1" applyAlignment="1" applyProtection="1">
      <alignment horizontal="center" shrinkToFit="1"/>
      <protection hidden="1"/>
    </xf>
    <xf numFmtId="165" fontId="0" fillId="0" borderId="1" xfId="0" applyNumberFormat="1" applyBorder="1" applyAlignment="1" applyProtection="1">
      <alignment horizontal="center" shrinkToFit="1"/>
      <protection hidden="1"/>
    </xf>
    <xf numFmtId="10" fontId="0" fillId="0" borderId="1" xfId="0" applyNumberFormat="1" applyBorder="1" applyAlignment="1" applyProtection="1">
      <alignment horizontal="center" shrinkToFit="1"/>
      <protection hidden="1"/>
    </xf>
    <xf numFmtId="0" fontId="5" fillId="0" borderId="0" xfId="0" applyFont="1" applyAlignment="1" applyProtection="1">
      <alignment shrinkToFit="1"/>
      <protection hidden="1"/>
    </xf>
    <xf numFmtId="0" fontId="3" fillId="0" borderId="0" xfId="0" applyFont="1" applyAlignment="1" applyProtection="1">
      <alignment shrinkToFit="1"/>
      <protection hidden="1"/>
    </xf>
    <xf numFmtId="10" fontId="5" fillId="0" borderId="0" xfId="0" applyNumberFormat="1" applyFont="1" applyAlignment="1" applyProtection="1">
      <alignment horizontal="center" shrinkToFit="1"/>
      <protection hidden="1"/>
    </xf>
    <xf numFmtId="10" fontId="5" fillId="0" borderId="0" xfId="0" applyNumberFormat="1" applyFont="1" applyAlignment="1" applyProtection="1">
      <alignment shrinkToFit="1"/>
      <protection hidden="1"/>
    </xf>
    <xf numFmtId="10" fontId="5" fillId="8" borderId="0" xfId="0" applyNumberFormat="1" applyFont="1" applyFill="1" applyAlignment="1" applyProtection="1">
      <alignment horizontal="center" shrinkToFit="1"/>
      <protection hidden="1"/>
    </xf>
    <xf numFmtId="0" fontId="5" fillId="8" borderId="0" xfId="0" applyFont="1" applyFill="1" applyAlignment="1" applyProtection="1">
      <alignment horizontal="center" shrinkToFit="1"/>
      <protection hidden="1"/>
    </xf>
    <xf numFmtId="10" fontId="5" fillId="8" borderId="0" xfId="0" applyNumberFormat="1" applyFont="1" applyFill="1" applyAlignment="1" applyProtection="1">
      <alignment shrinkToFit="1"/>
      <protection hidden="1"/>
    </xf>
    <xf numFmtId="0" fontId="0" fillId="0" borderId="0" xfId="0" applyAlignment="1" applyProtection="1">
      <alignment wrapText="1"/>
      <protection hidden="1"/>
    </xf>
    <xf numFmtId="2" fontId="2" fillId="3" borderId="6" xfId="0" applyNumberFormat="1" applyFont="1" applyFill="1" applyBorder="1" applyAlignment="1" applyProtection="1">
      <alignment horizontal="center" vertical="center" shrinkToFit="1"/>
      <protection hidden="1"/>
    </xf>
    <xf numFmtId="2" fontId="0" fillId="0" borderId="7" xfId="0" applyNumberFormat="1" applyBorder="1" applyAlignment="1" applyProtection="1">
      <alignment horizontal="center" vertical="center" shrinkToFit="1"/>
      <protection locked="0"/>
    </xf>
    <xf numFmtId="2" fontId="2" fillId="3" borderId="5" xfId="0" applyNumberFormat="1" applyFont="1" applyFill="1" applyBorder="1" applyAlignment="1" applyProtection="1">
      <alignment horizontal="center" vertical="center" shrinkToFit="1"/>
      <protection hidden="1"/>
    </xf>
    <xf numFmtId="2" fontId="0" fillId="6" borderId="7" xfId="0" applyNumberFormat="1" applyFill="1" applyBorder="1" applyAlignment="1" applyProtection="1">
      <alignment horizontal="center" vertical="center" shrinkToFit="1"/>
      <protection locked="0"/>
    </xf>
    <xf numFmtId="2" fontId="0" fillId="6" borderId="2" xfId="0" applyNumberFormat="1" applyFill="1" applyBorder="1" applyAlignment="1" applyProtection="1">
      <alignment horizontal="center" vertical="center" shrinkToFit="1"/>
      <protection locked="0"/>
    </xf>
    <xf numFmtId="2" fontId="2" fillId="3" borderId="3" xfId="0" applyNumberFormat="1" applyFont="1" applyFill="1" applyBorder="1" applyAlignment="1" applyProtection="1">
      <alignment horizontal="center" vertical="center" shrinkToFit="1"/>
      <protection hidden="1"/>
    </xf>
    <xf numFmtId="0" fontId="4" fillId="2" borderId="10" xfId="0" applyFont="1" applyFill="1" applyBorder="1" applyAlignment="1" applyProtection="1">
      <alignment wrapText="1"/>
      <protection hidden="1"/>
    </xf>
    <xf numFmtId="0" fontId="0" fillId="7" borderId="11" xfId="0" applyFill="1" applyBorder="1" applyAlignment="1" applyProtection="1">
      <alignment horizontal="center" shrinkToFit="1"/>
      <protection hidden="1"/>
    </xf>
    <xf numFmtId="0" fontId="0" fillId="7" borderId="12" xfId="0" applyFill="1" applyBorder="1" applyAlignment="1" applyProtection="1">
      <alignment horizontal="center" shrinkToFit="1"/>
      <protection hidden="1"/>
    </xf>
    <xf numFmtId="0" fontId="0" fillId="5" borderId="13" xfId="0" applyFill="1" applyBorder="1" applyAlignment="1" applyProtection="1">
      <alignment horizontal="right" wrapText="1"/>
      <protection locked="0"/>
    </xf>
    <xf numFmtId="0" fontId="0" fillId="0" borderId="13" xfId="0" applyBorder="1" applyAlignment="1" applyProtection="1">
      <alignment horizontal="right" wrapText="1"/>
      <protection locked="0"/>
    </xf>
    <xf numFmtId="0" fontId="0" fillId="0" borderId="15" xfId="0" applyBorder="1" applyAlignment="1" applyProtection="1">
      <alignment horizontal="right" wrapText="1"/>
      <protection locked="0"/>
    </xf>
    <xf numFmtId="2" fontId="0" fillId="0" borderId="2" xfId="0" applyNumberFormat="1" applyBorder="1" applyAlignment="1" applyProtection="1">
      <alignment horizontal="center" vertical="center" shrinkToFit="1"/>
      <protection locked="0"/>
    </xf>
    <xf numFmtId="0" fontId="0" fillId="7" borderId="11" xfId="0" applyFill="1" applyBorder="1" applyAlignment="1" applyProtection="1">
      <alignment shrinkToFit="1"/>
      <protection hidden="1"/>
    </xf>
    <xf numFmtId="0" fontId="0" fillId="7" borderId="12" xfId="0" applyFill="1" applyBorder="1" applyAlignment="1" applyProtection="1">
      <alignment shrinkToFit="1"/>
      <protection hidden="1"/>
    </xf>
    <xf numFmtId="2" fontId="0" fillId="0" borderId="19" xfId="0" applyNumberFormat="1" applyBorder="1" applyAlignment="1" applyProtection="1">
      <alignment horizontal="center" vertical="center" shrinkToFit="1"/>
      <protection locked="0"/>
    </xf>
    <xf numFmtId="2" fontId="0" fillId="0" borderId="20" xfId="0" applyNumberFormat="1" applyBorder="1" applyAlignment="1" applyProtection="1">
      <alignment horizontal="center" vertical="center" shrinkToFit="1"/>
      <protection locked="0"/>
    </xf>
    <xf numFmtId="0" fontId="0" fillId="6" borderId="22" xfId="0" applyFill="1" applyBorder="1" applyAlignment="1" applyProtection="1">
      <alignment horizontal="right" vertical="center" wrapText="1"/>
      <protection hidden="1"/>
    </xf>
    <xf numFmtId="0" fontId="0" fillId="0" borderId="23" xfId="0" applyBorder="1" applyAlignment="1" applyProtection="1">
      <alignment horizontal="right" vertical="center" wrapText="1"/>
      <protection hidden="1"/>
    </xf>
    <xf numFmtId="0" fontId="0" fillId="6" borderId="23" xfId="0" applyFill="1" applyBorder="1" applyAlignment="1" applyProtection="1">
      <alignment horizontal="right" vertical="center" wrapText="1"/>
      <protection hidden="1"/>
    </xf>
    <xf numFmtId="0" fontId="0" fillId="0" borderId="24" xfId="0" applyBorder="1" applyAlignment="1" applyProtection="1">
      <alignment horizontal="right" vertical="center" wrapText="1"/>
      <protection hidden="1"/>
    </xf>
    <xf numFmtId="10" fontId="0" fillId="5" borderId="0" xfId="0" applyNumberFormat="1" applyFill="1" applyAlignment="1" applyProtection="1">
      <alignment horizontal="center" vertical="center" shrinkToFit="1"/>
      <protection locked="0"/>
    </xf>
    <xf numFmtId="10" fontId="0" fillId="5" borderId="14" xfId="0" applyNumberFormat="1" applyFill="1" applyBorder="1" applyAlignment="1" applyProtection="1">
      <alignment horizontal="center" vertical="center" shrinkToFit="1"/>
      <protection locked="0"/>
    </xf>
    <xf numFmtId="10" fontId="0" fillId="0" borderId="0" xfId="0" applyNumberFormat="1" applyAlignment="1" applyProtection="1">
      <alignment horizontal="center" vertical="center" shrinkToFit="1"/>
      <protection locked="0"/>
    </xf>
    <xf numFmtId="10" fontId="0" fillId="0" borderId="14" xfId="0" applyNumberFormat="1" applyBorder="1" applyAlignment="1" applyProtection="1">
      <alignment horizontal="center" vertical="center" shrinkToFit="1"/>
      <protection locked="0"/>
    </xf>
    <xf numFmtId="10" fontId="0" fillId="0" borderId="4" xfId="0" applyNumberFormat="1" applyBorder="1" applyAlignment="1" applyProtection="1">
      <alignment horizontal="center" vertical="center" shrinkToFit="1"/>
      <protection locked="0"/>
    </xf>
    <xf numFmtId="10" fontId="0" fillId="0" borderId="16" xfId="0" applyNumberFormat="1" applyBorder="1" applyAlignment="1" applyProtection="1">
      <alignment horizontal="center" vertical="center" shrinkToFit="1"/>
      <protection locked="0"/>
    </xf>
    <xf numFmtId="2" fontId="6" fillId="4" borderId="0" xfId="0" applyNumberFormat="1" applyFont="1" applyFill="1" applyAlignment="1" applyProtection="1">
      <alignment horizontal="center" vertical="center" shrinkToFit="1"/>
      <protection hidden="1"/>
    </xf>
    <xf numFmtId="2" fontId="6" fillId="4" borderId="14" xfId="0" applyNumberFormat="1" applyFont="1" applyFill="1" applyBorder="1" applyAlignment="1" applyProtection="1">
      <alignment horizontal="center" vertical="center" shrinkToFit="1"/>
      <protection hidden="1"/>
    </xf>
    <xf numFmtId="0" fontId="7" fillId="0" borderId="0" xfId="0" applyFont="1" applyAlignment="1" applyProtection="1">
      <alignment shrinkToFit="1"/>
      <protection hidden="1"/>
    </xf>
    <xf numFmtId="10" fontId="7" fillId="0" borderId="0" xfId="0" applyNumberFormat="1" applyFont="1" applyAlignment="1" applyProtection="1">
      <alignment horizontal="center" shrinkToFit="1"/>
      <protection hidden="1"/>
    </xf>
    <xf numFmtId="0" fontId="0" fillId="0" borderId="25" xfId="0" applyBorder="1" applyAlignment="1" applyProtection="1">
      <alignment horizontal="center" vertical="center" wrapText="1" shrinkToFit="1"/>
      <protection hidden="1"/>
    </xf>
    <xf numFmtId="0" fontId="0" fillId="0" borderId="8" xfId="0" applyBorder="1" applyAlignment="1" applyProtection="1">
      <alignment horizontal="center" vertical="center" wrapText="1" shrinkToFit="1"/>
      <protection hidden="1"/>
    </xf>
    <xf numFmtId="166" fontId="0" fillId="0" borderId="0" xfId="0" applyNumberFormat="1"/>
    <xf numFmtId="0" fontId="2" fillId="0" borderId="15" xfId="0" applyFont="1" applyBorder="1" applyAlignment="1" applyProtection="1">
      <alignment horizontal="center" vertical="center" wrapText="1" shrinkToFit="1"/>
      <protection hidden="1"/>
    </xf>
    <xf numFmtId="0" fontId="2" fillId="0" borderId="4" xfId="0" applyFont="1" applyBorder="1" applyAlignment="1" applyProtection="1">
      <alignment horizontal="center" vertical="center" wrapText="1" shrinkToFit="1"/>
      <protection hidden="1"/>
    </xf>
    <xf numFmtId="0" fontId="2" fillId="0" borderId="16" xfId="0" applyFont="1" applyBorder="1" applyAlignment="1" applyProtection="1">
      <alignment horizontal="center" vertical="center" wrapText="1" shrinkToFit="1"/>
      <protection hidden="1"/>
    </xf>
    <xf numFmtId="10" fontId="8" fillId="0" borderId="9" xfId="0" applyNumberFormat="1" applyFont="1" applyBorder="1" applyAlignment="1" applyProtection="1">
      <alignment horizontal="center" vertical="center" wrapText="1" shrinkToFit="1"/>
      <protection hidden="1"/>
    </xf>
    <xf numFmtId="0" fontId="0" fillId="0" borderId="0" xfId="0" applyAlignment="1" applyProtection="1">
      <alignment horizontal="center" vertical="center" wrapText="1" shrinkToFit="1"/>
      <protection hidden="1"/>
    </xf>
    <xf numFmtId="0" fontId="0" fillId="0" borderId="21" xfId="0" applyBorder="1" applyAlignment="1" applyProtection="1">
      <alignment horizontal="center" vertical="center" wrapText="1" shrinkToFit="1"/>
      <protection hidden="1"/>
    </xf>
    <xf numFmtId="0" fontId="0" fillId="0" borderId="9" xfId="0" applyBorder="1" applyAlignment="1" applyProtection="1">
      <alignment horizontal="center" vertical="center" wrapText="1" shrinkToFit="1"/>
      <protection hidden="1"/>
    </xf>
    <xf numFmtId="0" fontId="0" fillId="0" borderId="1" xfId="0" applyBorder="1" applyAlignment="1" applyProtection="1">
      <alignment horizontal="center" vertical="center" wrapText="1" shrinkToFit="1"/>
      <protection hidden="1"/>
    </xf>
    <xf numFmtId="0" fontId="7" fillId="0" borderId="0" xfId="0" applyFont="1" applyAlignment="1" applyProtection="1">
      <alignment horizontal="center" vertical="center" wrapText="1" shrinkToFit="1"/>
      <protection hidden="1"/>
    </xf>
    <xf numFmtId="10" fontId="5" fillId="8" borderId="0" xfId="0" applyNumberFormat="1" applyFont="1" applyFill="1" applyAlignment="1" applyProtection="1">
      <alignment horizontal="center" vertical="center" wrapText="1" shrinkToFit="1"/>
      <protection hidden="1"/>
    </xf>
    <xf numFmtId="0" fontId="5" fillId="0" borderId="0" xfId="0" applyFont="1" applyAlignment="1" applyProtection="1">
      <alignment horizontal="center" vertical="center" wrapText="1" shrinkToFit="1"/>
      <protection hidden="1"/>
    </xf>
    <xf numFmtId="10" fontId="5" fillId="0" borderId="0" xfId="0" applyNumberFormat="1" applyFont="1" applyAlignment="1" applyProtection="1">
      <alignment horizontal="center" vertical="center" wrapText="1" shrinkToFit="1"/>
      <protection hidden="1"/>
    </xf>
    <xf numFmtId="10" fontId="0" fillId="0" borderId="0" xfId="0" applyNumberFormat="1" applyAlignment="1" applyProtection="1">
      <alignment horizontal="center" vertical="center" wrapText="1" shrinkToFit="1"/>
      <protection hidden="1"/>
    </xf>
    <xf numFmtId="0" fontId="1" fillId="2" borderId="0" xfId="0" applyFont="1" applyFill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 applyProtection="1">
      <alignment horizontal="right" shrinkToFit="1"/>
      <protection locked="0"/>
    </xf>
    <xf numFmtId="10" fontId="0" fillId="0" borderId="0" xfId="0" applyNumberFormat="1" applyAlignment="1" applyProtection="1">
      <alignment vertical="center" shrinkToFit="1"/>
      <protection locked="0"/>
    </xf>
    <xf numFmtId="10" fontId="0" fillId="0" borderId="0" xfId="0" applyNumberFormat="1" applyAlignment="1" applyProtection="1">
      <alignment shrinkToFit="1"/>
      <protection locked="0"/>
    </xf>
    <xf numFmtId="10" fontId="0" fillId="0" borderId="0" xfId="0" applyNumberFormat="1" applyAlignment="1">
      <alignment shrinkToFit="1"/>
    </xf>
    <xf numFmtId="0" fontId="0" fillId="0" borderId="0" xfId="0" applyAlignment="1">
      <alignment shrinkToFit="1"/>
    </xf>
    <xf numFmtId="10" fontId="0" fillId="0" borderId="0" xfId="0" applyNumberFormat="1" applyAlignment="1">
      <alignment vertical="center" shrinkToFit="1"/>
    </xf>
    <xf numFmtId="10" fontId="0" fillId="0" borderId="0" xfId="0" quotePrefix="1" applyNumberFormat="1" applyAlignment="1">
      <alignment vertical="center" shrinkToFit="1"/>
    </xf>
    <xf numFmtId="164" fontId="0" fillId="0" borderId="0" xfId="0" applyNumberFormat="1" applyAlignment="1" applyProtection="1">
      <alignment shrinkToFit="1"/>
      <protection locked="0"/>
    </xf>
    <xf numFmtId="164" fontId="0" fillId="0" borderId="0" xfId="0" applyNumberFormat="1" applyAlignment="1">
      <alignment shrinkToFit="1"/>
    </xf>
    <xf numFmtId="0" fontId="0" fillId="0" borderId="0" xfId="0" applyAlignment="1">
      <alignment horizontal="right" shrinkToFit="1"/>
    </xf>
    <xf numFmtId="0" fontId="7" fillId="0" borderId="0" xfId="0" applyFont="1" applyAlignment="1">
      <alignment shrinkToFit="1"/>
    </xf>
    <xf numFmtId="10" fontId="7" fillId="0" borderId="0" xfId="0" applyNumberFormat="1" applyFont="1" applyAlignment="1">
      <alignment shrinkToFit="1"/>
    </xf>
    <xf numFmtId="1" fontId="7" fillId="0" borderId="0" xfId="0" applyNumberFormat="1" applyFont="1" applyAlignment="1">
      <alignment shrinkToFit="1"/>
    </xf>
    <xf numFmtId="10" fontId="0" fillId="0" borderId="0" xfId="0" applyNumberFormat="1" applyAlignment="1" applyProtection="1">
      <alignment horizontal="right" shrinkToFit="1"/>
      <protection locked="0"/>
    </xf>
    <xf numFmtId="166" fontId="0" fillId="0" borderId="0" xfId="0" applyNumberFormat="1" applyAlignment="1">
      <alignment wrapText="1"/>
    </xf>
    <xf numFmtId="10" fontId="0" fillId="0" borderId="0" xfId="2" applyNumberFormat="1" applyFont="1" applyAlignment="1">
      <alignment shrinkToFit="1"/>
    </xf>
    <xf numFmtId="167" fontId="0" fillId="0" borderId="0" xfId="0" applyNumberFormat="1" applyAlignment="1">
      <alignment shrinkToFit="1"/>
    </xf>
    <xf numFmtId="168" fontId="0" fillId="0" borderId="0" xfId="0" applyNumberFormat="1" applyAlignment="1">
      <alignment shrinkToFit="1"/>
    </xf>
    <xf numFmtId="0" fontId="10" fillId="0" borderId="0" xfId="0" applyFont="1" applyAlignment="1">
      <alignment horizontal="right" wrapText="1" shrinkToFit="1"/>
    </xf>
    <xf numFmtId="0" fontId="0" fillId="0" borderId="0" xfId="0" applyAlignment="1">
      <alignment horizontal="right" wrapText="1" shrinkToFit="1"/>
    </xf>
    <xf numFmtId="0" fontId="11" fillId="0" borderId="0" xfId="0" applyFont="1"/>
    <xf numFmtId="43" fontId="12" fillId="0" borderId="0" xfId="1" applyFont="1" applyAlignment="1">
      <alignment horizontal="center" wrapText="1"/>
    </xf>
    <xf numFmtId="43" fontId="11" fillId="0" borderId="0" xfId="1" applyFont="1"/>
    <xf numFmtId="43" fontId="12" fillId="0" borderId="0" xfId="0" applyNumberFormat="1" applyFont="1"/>
    <xf numFmtId="43" fontId="12" fillId="0" borderId="0" xfId="1" applyFont="1"/>
    <xf numFmtId="43" fontId="11" fillId="9" borderId="0" xfId="0" applyNumberFormat="1" applyFont="1" applyFill="1"/>
    <xf numFmtId="43" fontId="11" fillId="0" borderId="0" xfId="0" applyNumberFormat="1" applyFont="1"/>
    <xf numFmtId="10" fontId="0" fillId="0" borderId="0" xfId="0" applyNumberFormat="1" applyAlignment="1">
      <alignment horizontal="right" shrinkToFit="1"/>
    </xf>
    <xf numFmtId="9" fontId="0" fillId="0" borderId="0" xfId="0" applyNumberFormat="1"/>
    <xf numFmtId="169" fontId="0" fillId="0" borderId="0" xfId="1" applyNumberFormat="1" applyFont="1"/>
    <xf numFmtId="43" fontId="5" fillId="3" borderId="0" xfId="1" applyFont="1" applyFill="1" applyBorder="1" applyAlignment="1">
      <alignment wrapText="1"/>
    </xf>
    <xf numFmtId="0" fontId="4" fillId="7" borderId="17" xfId="0" applyFont="1" applyFill="1" applyBorder="1" applyAlignment="1" applyProtection="1">
      <alignment horizontal="left" shrinkToFit="1"/>
      <protection hidden="1"/>
    </xf>
    <xf numFmtId="0" fontId="4" fillId="7" borderId="18" xfId="0" applyFont="1" applyFill="1" applyBorder="1" applyAlignment="1" applyProtection="1">
      <alignment horizontal="left" shrinkToFit="1"/>
      <protection hidden="1"/>
    </xf>
  </cellXfs>
  <cellStyles count="3">
    <cellStyle name="Comma" xfId="1" builtinId="3"/>
    <cellStyle name="Normal" xfId="0" builtinId="0"/>
    <cellStyle name="Percent" xfId="2" builtinId="5"/>
  </cellStyles>
  <dxfs count="24"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ill>
        <patternFill>
          <bgColor rgb="FFFFFFD9"/>
        </patternFill>
      </fill>
    </dxf>
    <dxf>
      <fill>
        <patternFill>
          <bgColor rgb="FFFFFFD9"/>
        </patternFill>
      </fill>
    </dxf>
    <dxf>
      <fill>
        <patternFill>
          <bgColor rgb="FFF2F2F2"/>
        </patternFill>
      </fill>
    </dxf>
    <dxf>
      <fill>
        <patternFill>
          <bgColor theme="5" tint="-0.24994659260841701"/>
        </patternFill>
      </fill>
    </dxf>
    <dxf>
      <font>
        <b/>
        <i val="0"/>
      </font>
      <fill>
        <patternFill>
          <bgColor rgb="FF00FA71"/>
        </patternFill>
      </fill>
    </dxf>
    <dxf>
      <border>
        <bottom style="thin">
          <color theme="5" tint="-0.24994659260841701"/>
        </bottom>
        <vertical/>
        <horizontal/>
      </border>
    </dxf>
    <dxf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ill>
        <patternFill>
          <bgColor rgb="FFFFFFD9"/>
        </patternFill>
      </fill>
    </dxf>
    <dxf>
      <fill>
        <patternFill>
          <bgColor rgb="FFFFFFD6"/>
        </patternFill>
      </fill>
    </dxf>
    <dxf>
      <fill>
        <patternFill>
          <bgColor rgb="FFFFFFD6"/>
        </patternFill>
      </fill>
    </dxf>
    <dxf>
      <fill>
        <patternFill>
          <bgColor rgb="FFFFFFD6"/>
        </patternFill>
      </fill>
    </dxf>
    <dxf>
      <fill>
        <patternFill>
          <bgColor rgb="FFFFFFD9"/>
        </patternFill>
      </fill>
    </dxf>
    <dxf>
      <fill>
        <patternFill>
          <bgColor rgb="FFFFFFD6"/>
        </patternFill>
      </fill>
    </dxf>
  </dxfs>
  <tableStyles count="0" defaultTableStyle="TableStyleMedium9" defaultPivotStyle="PivotStyleLight16"/>
  <colors>
    <mruColors>
      <color rgb="FF003366"/>
      <color rgb="FF3A1953"/>
      <color rgb="FF349AE0"/>
      <color rgb="FFFFFFCD"/>
      <color rgb="FFF2F2F2"/>
      <color rgb="FFE8ECEC"/>
      <color rgb="FFEAEAEA"/>
      <color rgb="FFFFFFD6"/>
      <color rgb="FFFFFFD9"/>
      <color rgb="FF05FF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70084934708262"/>
          <c:y val="7.5542685541351615E-2"/>
          <c:w val="0.84880743117351654"/>
          <c:h val="0.81659028176433668"/>
        </c:manualLayout>
      </c:layout>
      <c:scatterChart>
        <c:scatterStyle val="lineMarker"/>
        <c:varyColors val="0"/>
        <c:ser>
          <c:idx val="4"/>
          <c:order val="0"/>
          <c:spPr>
            <a:effectLst/>
          </c:spPr>
          <c:marker>
            <c:symbol val="circle"/>
            <c:size val="9"/>
            <c:spPr>
              <a:solidFill>
                <a:srgbClr val="002060"/>
              </a:solidFill>
              <a:ln>
                <a:solidFill>
                  <a:srgbClr val="FFFFCD"/>
                </a:solidFill>
              </a:ln>
            </c:spPr>
          </c:marker>
          <c:xVal>
            <c:numRef>
              <c:f>Results!$B$3:$BM$3</c:f>
              <c:numCache>
                <c:formatCode>0.00%</c:formatCode>
                <c:ptCount val="64"/>
                <c:pt idx="0">
                  <c:v>7.9110683099404014E-2</c:v>
                </c:pt>
                <c:pt idx="1">
                  <c:v>6.3193764879042963E-2</c:v>
                </c:pt>
                <c:pt idx="2">
                  <c:v>5.5735132683030389E-2</c:v>
                </c:pt>
                <c:pt idx="3">
                  <c:v>5.5182935508150864E-2</c:v>
                </c:pt>
                <c:pt idx="4">
                  <c:v>5.9184746365519229E-2</c:v>
                </c:pt>
                <c:pt idx="5">
                  <c:v>6.5962586906596787E-2</c:v>
                </c:pt>
                <c:pt idx="6">
                  <c:v>7.3913649451919305E-2</c:v>
                </c:pt>
                <c:pt idx="7">
                  <c:v>8.4026472342774008E-2</c:v>
                </c:pt>
                <c:pt idx="8">
                  <c:v>9.5910274521157107E-2</c:v>
                </c:pt>
                <c:pt idx="9">
                  <c:v>0.10887042026215162</c:v>
                </c:pt>
                <c:pt idx="10">
                  <c:v>0.12319468211870506</c:v>
                </c:pt>
                <c:pt idx="11">
                  <c:v>0.13951823599159954</c:v>
                </c:pt>
                <c:pt idx="12">
                  <c:v>0.15902286162670701</c:v>
                </c:pt>
                <c:pt idx="13">
                  <c:v>0.18244510358285684</c:v>
                </c:pt>
                <c:pt idx="14">
                  <c:v>0.21137271897277665</c:v>
                </c:pt>
              </c:numCache>
            </c:numRef>
          </c:xVal>
          <c:yVal>
            <c:numRef>
              <c:f>Results!$B$2:$BM$2</c:f>
              <c:numCache>
                <c:formatCode>0.00%</c:formatCode>
                <c:ptCount val="64"/>
                <c:pt idx="0">
                  <c:v>0.05</c:v>
                </c:pt>
                <c:pt idx="1">
                  <c:v>5.2857143027441843E-2</c:v>
                </c:pt>
                <c:pt idx="2">
                  <c:v>5.5714286054883683E-2</c:v>
                </c:pt>
                <c:pt idx="3">
                  <c:v>5.8571429082325523E-2</c:v>
                </c:pt>
                <c:pt idx="4">
                  <c:v>6.1428572109767363E-2</c:v>
                </c:pt>
                <c:pt idx="5">
                  <c:v>6.4285715137209209E-2</c:v>
                </c:pt>
                <c:pt idx="6">
                  <c:v>6.7142858164651056E-2</c:v>
                </c:pt>
                <c:pt idx="7">
                  <c:v>7.0000001192092903E-2</c:v>
                </c:pt>
                <c:pt idx="8">
                  <c:v>7.285714421953475E-2</c:v>
                </c:pt>
                <c:pt idx="9">
                  <c:v>7.5714287246976597E-2</c:v>
                </c:pt>
                <c:pt idx="10">
                  <c:v>7.8571430274418444E-2</c:v>
                </c:pt>
                <c:pt idx="11">
                  <c:v>8.1428573301860291E-2</c:v>
                </c:pt>
                <c:pt idx="12">
                  <c:v>8.4285716329302138E-2</c:v>
                </c:pt>
                <c:pt idx="13">
                  <c:v>8.7142859356743985E-2</c:v>
                </c:pt>
                <c:pt idx="14">
                  <c:v>9.0000002384185832E-2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45C-4210-B066-2F3E9CBB3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29312"/>
        <c:axId val="190831232"/>
      </c:scatterChart>
      <c:valAx>
        <c:axId val="190829312"/>
        <c:scaling>
          <c:orientation val="minMax"/>
          <c:min val="5.0182935508150867E-2"/>
        </c:scaling>
        <c:delete val="0"/>
        <c:axPos val="b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  <a:alpha val="75000"/>
                </a:schemeClr>
              </a:solidFill>
              <a:prstDash val="sysDash"/>
              <a:round/>
            </a:ln>
            <a:effectLst/>
          </c:spPr>
        </c:majorGridlines>
        <c:title>
          <c:tx>
            <c:strRef>
              <c:f>Results!$A$3</c:f>
              <c:strCache>
                <c:ptCount val="1"/>
                <c:pt idx="0">
                  <c:v>Standard Deviation</c:v>
                </c:pt>
              </c:strCache>
            </c:strRef>
          </c:tx>
          <c:layout>
            <c:manualLayout>
              <c:xMode val="edge"/>
              <c:yMode val="edge"/>
              <c:x val="0.45220794004570741"/>
              <c:y val="0.94970323600971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31232"/>
        <c:crosses val="autoZero"/>
        <c:crossBetween val="midCat"/>
      </c:valAx>
      <c:valAx>
        <c:axId val="190831232"/>
        <c:scaling>
          <c:orientation val="minMax"/>
          <c:min val="4.5000000000000005E-2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  <a:alpha val="7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Results!$A$2</c:f>
              <c:strCache>
                <c:ptCount val="1"/>
                <c:pt idx="0">
                  <c:v>Expected Return</c:v>
                </c:pt>
              </c:strCache>
            </c:strRef>
          </c:tx>
          <c:layout>
            <c:manualLayout>
              <c:xMode val="edge"/>
              <c:yMode val="edge"/>
              <c:x val="1.6157118817834572E-2"/>
              <c:y val="0.314680613912014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29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/>
              <a:t>RA</a:t>
            </a:r>
            <a:r>
              <a:rPr lang="en-US" sz="1500" baseline="0"/>
              <a:t> Stand-Alone</a:t>
            </a:r>
            <a:endParaRPr lang="en-US" sz="15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Results!$A$5</c:f>
              <c:strCache>
                <c:ptCount val="1"/>
                <c:pt idx="0">
                  <c:v>US Core RE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5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45-4FDD-8954-AEFDA760A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Results!$B$106:$P$106</c:f>
              <c:numCache>
                <c:formatCode>0.00%</c:formatCode>
                <c:ptCount val="15"/>
                <c:pt idx="0">
                  <c:v>4.9950050789215619E-2</c:v>
                </c:pt>
                <c:pt idx="1">
                  <c:v>5.2804338997955093E-2</c:v>
                </c:pt>
                <c:pt idx="2">
                  <c:v>5.56586270371821E-2</c:v>
                </c:pt>
                <c:pt idx="3">
                  <c:v>5.8512916164818997E-2</c:v>
                </c:pt>
                <c:pt idx="4">
                  <c:v>6.1367204323575786E-2</c:v>
                </c:pt>
                <c:pt idx="5">
                  <c:v>6.4221493777153846E-2</c:v>
                </c:pt>
                <c:pt idx="6">
                  <c:v>6.7075782468032807E-2</c:v>
                </c:pt>
                <c:pt idx="7">
                  <c:v>6.9930071371286581E-2</c:v>
                </c:pt>
                <c:pt idx="8">
                  <c:v>7.2784358651284783E-2</c:v>
                </c:pt>
                <c:pt idx="9">
                  <c:v>7.5638649321012746E-2</c:v>
                </c:pt>
                <c:pt idx="10">
                  <c:v>7.8492937120477099E-2</c:v>
                </c:pt>
                <c:pt idx="11">
                  <c:v>8.1347306490532359E-2</c:v>
                </c:pt>
                <c:pt idx="12">
                  <c:v>8.4201515346574302E-2</c:v>
                </c:pt>
                <c:pt idx="13">
                  <c:v>8.7055803553179656E-2</c:v>
                </c:pt>
                <c:pt idx="14">
                  <c:v>8.9910089910089919E-2</c:v>
                </c:pt>
              </c:numCache>
            </c:numRef>
          </c:cat>
          <c:val>
            <c:numRef>
              <c:f>Results!$B$5:$P$5</c:f>
              <c:numCache>
                <c:formatCode>0.00%</c:formatCode>
                <c:ptCount val="15"/>
                <c:pt idx="0">
                  <c:v>0</c:v>
                </c:pt>
                <c:pt idx="1">
                  <c:v>1.1359629360861077E-2</c:v>
                </c:pt>
                <c:pt idx="2">
                  <c:v>0.10684512665267995</c:v>
                </c:pt>
                <c:pt idx="3">
                  <c:v>0.16304298378622978</c:v>
                </c:pt>
                <c:pt idx="4">
                  <c:v>0.20732042321657496</c:v>
                </c:pt>
                <c:pt idx="5">
                  <c:v>0.23986119758591112</c:v>
                </c:pt>
                <c:pt idx="6">
                  <c:v>0.2565160369754213</c:v>
                </c:pt>
                <c:pt idx="7">
                  <c:v>0.25573324995683361</c:v>
                </c:pt>
                <c:pt idx="8">
                  <c:v>0.11099374959334399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6C-4908-B143-79E66060A7D7}"/>
            </c:ext>
          </c:extLst>
        </c:ser>
        <c:ser>
          <c:idx val="1"/>
          <c:order val="1"/>
          <c:tx>
            <c:strRef>
              <c:f>Results!$A$6</c:f>
              <c:strCache>
                <c:ptCount val="1"/>
                <c:pt idx="0">
                  <c:v>Euro Core RE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45-4FDD-8954-AEFDA760A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Results!$B$106:$P$106</c:f>
              <c:numCache>
                <c:formatCode>0.00%</c:formatCode>
                <c:ptCount val="15"/>
                <c:pt idx="0">
                  <c:v>4.9950050789215619E-2</c:v>
                </c:pt>
                <c:pt idx="1">
                  <c:v>5.2804338997955093E-2</c:v>
                </c:pt>
                <c:pt idx="2">
                  <c:v>5.56586270371821E-2</c:v>
                </c:pt>
                <c:pt idx="3">
                  <c:v>5.8512916164818997E-2</c:v>
                </c:pt>
                <c:pt idx="4">
                  <c:v>6.1367204323575786E-2</c:v>
                </c:pt>
                <c:pt idx="5">
                  <c:v>6.4221493777153846E-2</c:v>
                </c:pt>
                <c:pt idx="6">
                  <c:v>6.7075782468032807E-2</c:v>
                </c:pt>
                <c:pt idx="7">
                  <c:v>6.9930071371286581E-2</c:v>
                </c:pt>
                <c:pt idx="8">
                  <c:v>7.2784358651284783E-2</c:v>
                </c:pt>
                <c:pt idx="9">
                  <c:v>7.5638649321012746E-2</c:v>
                </c:pt>
                <c:pt idx="10">
                  <c:v>7.8492937120477099E-2</c:v>
                </c:pt>
                <c:pt idx="11">
                  <c:v>8.1347306490532359E-2</c:v>
                </c:pt>
                <c:pt idx="12">
                  <c:v>8.4201515346574302E-2</c:v>
                </c:pt>
                <c:pt idx="13">
                  <c:v>8.7055803553179656E-2</c:v>
                </c:pt>
                <c:pt idx="14">
                  <c:v>8.9910089910089919E-2</c:v>
                </c:pt>
              </c:numCache>
            </c:numRef>
          </c:cat>
          <c:val>
            <c:numRef>
              <c:f>Results!$B$6:$P$6</c:f>
              <c:numCache>
                <c:formatCode>0.00%</c:formatCode>
                <c:ptCount val="15"/>
                <c:pt idx="0">
                  <c:v>0</c:v>
                </c:pt>
                <c:pt idx="1">
                  <c:v>0.19191063546715198</c:v>
                </c:pt>
                <c:pt idx="2">
                  <c:v>0.23597208938560757</c:v>
                </c:pt>
                <c:pt idx="3">
                  <c:v>0.25011068259246128</c:v>
                </c:pt>
                <c:pt idx="4">
                  <c:v>0.24951987510998264</c:v>
                </c:pt>
                <c:pt idx="5">
                  <c:v>0.24985261573170944</c:v>
                </c:pt>
                <c:pt idx="6">
                  <c:v>0.23318074432130542</c:v>
                </c:pt>
                <c:pt idx="7">
                  <c:v>0.19583520285994227</c:v>
                </c:pt>
                <c:pt idx="8">
                  <c:v>0.18585867550129404</c:v>
                </c:pt>
                <c:pt idx="9">
                  <c:v>0.16061500615422261</c:v>
                </c:pt>
                <c:pt idx="10">
                  <c:v>6.1245184176083593E-2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6C-4908-B143-79E66060A7D7}"/>
            </c:ext>
          </c:extLst>
        </c:ser>
        <c:ser>
          <c:idx val="2"/>
          <c:order val="2"/>
          <c:tx>
            <c:strRef>
              <c:f>Results!$A$7</c:f>
              <c:strCache>
                <c:ptCount val="1"/>
                <c:pt idx="0">
                  <c:v>Asia Core RE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45-4FDD-8954-AEFDA760A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Results!$B$106:$P$106</c:f>
              <c:numCache>
                <c:formatCode>0.00%</c:formatCode>
                <c:ptCount val="15"/>
                <c:pt idx="0">
                  <c:v>4.9950050789215619E-2</c:v>
                </c:pt>
                <c:pt idx="1">
                  <c:v>5.2804338997955093E-2</c:v>
                </c:pt>
                <c:pt idx="2">
                  <c:v>5.56586270371821E-2</c:v>
                </c:pt>
                <c:pt idx="3">
                  <c:v>5.8512916164818997E-2</c:v>
                </c:pt>
                <c:pt idx="4">
                  <c:v>6.1367204323575786E-2</c:v>
                </c:pt>
                <c:pt idx="5">
                  <c:v>6.4221493777153846E-2</c:v>
                </c:pt>
                <c:pt idx="6">
                  <c:v>6.7075782468032807E-2</c:v>
                </c:pt>
                <c:pt idx="7">
                  <c:v>6.9930071371286581E-2</c:v>
                </c:pt>
                <c:pt idx="8">
                  <c:v>7.2784358651284783E-2</c:v>
                </c:pt>
                <c:pt idx="9">
                  <c:v>7.5638649321012746E-2</c:v>
                </c:pt>
                <c:pt idx="10">
                  <c:v>7.8492937120477099E-2</c:v>
                </c:pt>
                <c:pt idx="11">
                  <c:v>8.1347306490532359E-2</c:v>
                </c:pt>
                <c:pt idx="12">
                  <c:v>8.4201515346574302E-2</c:v>
                </c:pt>
                <c:pt idx="13">
                  <c:v>8.7055803553179656E-2</c:v>
                </c:pt>
                <c:pt idx="14">
                  <c:v>8.9910089910089919E-2</c:v>
                </c:pt>
              </c:numCache>
            </c:numRef>
          </c:cat>
          <c:val>
            <c:numRef>
              <c:f>Results!$B$7:$P$7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6.2149962540813918E-2</c:v>
                </c:pt>
                <c:pt idx="3">
                  <c:v>0.11582787196425129</c:v>
                </c:pt>
                <c:pt idx="4">
                  <c:v>0.14276743831875641</c:v>
                </c:pt>
                <c:pt idx="5">
                  <c:v>0.16365308078316868</c:v>
                </c:pt>
                <c:pt idx="6">
                  <c:v>0.16586256388966725</c:v>
                </c:pt>
                <c:pt idx="7">
                  <c:v>0.12369244773745421</c:v>
                </c:pt>
                <c:pt idx="8">
                  <c:v>9.355690818874586E-2</c:v>
                </c:pt>
                <c:pt idx="9">
                  <c:v>4.105244167472101E-2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6C-4908-B143-79E66060A7D7}"/>
            </c:ext>
          </c:extLst>
        </c:ser>
        <c:ser>
          <c:idx val="3"/>
          <c:order val="3"/>
          <c:tx>
            <c:strRef>
              <c:f>Results!$A$8</c:f>
              <c:strCache>
                <c:ptCount val="1"/>
                <c:pt idx="0">
                  <c:v>US Core+ RE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45-4FDD-8954-AEFDA760A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Results!$B$106:$P$106</c:f>
              <c:numCache>
                <c:formatCode>0.00%</c:formatCode>
                <c:ptCount val="15"/>
                <c:pt idx="0">
                  <c:v>4.9950050789215619E-2</c:v>
                </c:pt>
                <c:pt idx="1">
                  <c:v>5.2804338997955093E-2</c:v>
                </c:pt>
                <c:pt idx="2">
                  <c:v>5.56586270371821E-2</c:v>
                </c:pt>
                <c:pt idx="3">
                  <c:v>5.8512916164818997E-2</c:v>
                </c:pt>
                <c:pt idx="4">
                  <c:v>6.1367204323575786E-2</c:v>
                </c:pt>
                <c:pt idx="5">
                  <c:v>6.4221493777153846E-2</c:v>
                </c:pt>
                <c:pt idx="6">
                  <c:v>6.7075782468032807E-2</c:v>
                </c:pt>
                <c:pt idx="7">
                  <c:v>6.9930071371286581E-2</c:v>
                </c:pt>
                <c:pt idx="8">
                  <c:v>7.2784358651284783E-2</c:v>
                </c:pt>
                <c:pt idx="9">
                  <c:v>7.5638649321012746E-2</c:v>
                </c:pt>
                <c:pt idx="10">
                  <c:v>7.8492937120477099E-2</c:v>
                </c:pt>
                <c:pt idx="11">
                  <c:v>8.1347306490532359E-2</c:v>
                </c:pt>
                <c:pt idx="12">
                  <c:v>8.4201515346574302E-2</c:v>
                </c:pt>
                <c:pt idx="13">
                  <c:v>8.7055803553179656E-2</c:v>
                </c:pt>
                <c:pt idx="14">
                  <c:v>8.9910089910089919E-2</c:v>
                </c:pt>
              </c:numCache>
            </c:numRef>
          </c:cat>
          <c:val>
            <c:numRef>
              <c:f>Results!$B$8:$P$8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0.11043203155186576</c:v>
                </c:pt>
                <c:pt idx="9">
                  <c:v>0.20450151220920829</c:v>
                </c:pt>
                <c:pt idx="10">
                  <c:v>0.21922841742121779</c:v>
                </c:pt>
                <c:pt idx="11">
                  <c:v>0.1540701702553012</c:v>
                </c:pt>
                <c:pt idx="12">
                  <c:v>2.7651310223487796E-2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6C-4908-B143-79E66060A7D7}"/>
            </c:ext>
          </c:extLst>
        </c:ser>
        <c:ser>
          <c:idx val="4"/>
          <c:order val="4"/>
          <c:tx>
            <c:strRef>
              <c:f>Results!$A$9</c:f>
              <c:strCache>
                <c:ptCount val="1"/>
                <c:pt idx="0">
                  <c:v>VA RE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Results!$B$106:$P$106</c:f>
              <c:numCache>
                <c:formatCode>0.00%</c:formatCode>
                <c:ptCount val="15"/>
                <c:pt idx="0">
                  <c:v>4.9950050789215619E-2</c:v>
                </c:pt>
                <c:pt idx="1">
                  <c:v>5.2804338997955093E-2</c:v>
                </c:pt>
                <c:pt idx="2">
                  <c:v>5.56586270371821E-2</c:v>
                </c:pt>
                <c:pt idx="3">
                  <c:v>5.8512916164818997E-2</c:v>
                </c:pt>
                <c:pt idx="4">
                  <c:v>6.1367204323575786E-2</c:v>
                </c:pt>
                <c:pt idx="5">
                  <c:v>6.4221493777153846E-2</c:v>
                </c:pt>
                <c:pt idx="6">
                  <c:v>6.7075782468032807E-2</c:v>
                </c:pt>
                <c:pt idx="7">
                  <c:v>6.9930071371286581E-2</c:v>
                </c:pt>
                <c:pt idx="8">
                  <c:v>7.2784358651284783E-2</c:v>
                </c:pt>
                <c:pt idx="9">
                  <c:v>7.5638649321012746E-2</c:v>
                </c:pt>
                <c:pt idx="10">
                  <c:v>7.8492937120477099E-2</c:v>
                </c:pt>
                <c:pt idx="11">
                  <c:v>8.1347306490532359E-2</c:v>
                </c:pt>
                <c:pt idx="12">
                  <c:v>8.4201515346574302E-2</c:v>
                </c:pt>
                <c:pt idx="13">
                  <c:v>8.7055803553179656E-2</c:v>
                </c:pt>
                <c:pt idx="14">
                  <c:v>8.9910089910089919E-2</c:v>
                </c:pt>
              </c:numCache>
            </c:numRef>
          </c:cat>
          <c:val>
            <c:numRef>
              <c:f>Results!$B$9:$P$9</c:f>
              <c:numCache>
                <c:formatCode>0.00%</c:formatCode>
                <c:ptCount val="15"/>
                <c:pt idx="0">
                  <c:v>2.9802322346061949E-8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6C-4908-B143-79E66060A7D7}"/>
            </c:ext>
          </c:extLst>
        </c:ser>
        <c:ser>
          <c:idx val="5"/>
          <c:order val="5"/>
          <c:tx>
            <c:strRef>
              <c:f>Results!$A$10</c:f>
              <c:strCache>
                <c:ptCount val="1"/>
                <c:pt idx="0">
                  <c:v>Opp RE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1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445-4FDD-8954-AEFDA760A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Results!$B$106:$P$106</c:f>
              <c:numCache>
                <c:formatCode>0.00%</c:formatCode>
                <c:ptCount val="15"/>
                <c:pt idx="0">
                  <c:v>4.9950050789215619E-2</c:v>
                </c:pt>
                <c:pt idx="1">
                  <c:v>5.2804338997955093E-2</c:v>
                </c:pt>
                <c:pt idx="2">
                  <c:v>5.56586270371821E-2</c:v>
                </c:pt>
                <c:pt idx="3">
                  <c:v>5.8512916164818997E-2</c:v>
                </c:pt>
                <c:pt idx="4">
                  <c:v>6.1367204323575786E-2</c:v>
                </c:pt>
                <c:pt idx="5">
                  <c:v>6.4221493777153846E-2</c:v>
                </c:pt>
                <c:pt idx="6">
                  <c:v>6.7075782468032807E-2</c:v>
                </c:pt>
                <c:pt idx="7">
                  <c:v>6.9930071371286581E-2</c:v>
                </c:pt>
                <c:pt idx="8">
                  <c:v>7.2784358651284783E-2</c:v>
                </c:pt>
                <c:pt idx="9">
                  <c:v>7.5638649321012746E-2</c:v>
                </c:pt>
                <c:pt idx="10">
                  <c:v>7.8492937120477099E-2</c:v>
                </c:pt>
                <c:pt idx="11">
                  <c:v>8.1347306490532359E-2</c:v>
                </c:pt>
                <c:pt idx="12">
                  <c:v>8.4201515346574302E-2</c:v>
                </c:pt>
                <c:pt idx="13">
                  <c:v>8.7055803553179656E-2</c:v>
                </c:pt>
                <c:pt idx="14">
                  <c:v>8.9910089910089919E-2</c:v>
                </c:pt>
              </c:numCache>
            </c:numRef>
          </c:cat>
          <c:val>
            <c:numRef>
              <c:f>Results!$B$10:$P$10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3.7938347606971734E-2</c:v>
                </c:pt>
                <c:pt idx="7">
                  <c:v>0.12514203347379305</c:v>
                </c:pt>
                <c:pt idx="8">
                  <c:v>0.19469456991535666</c:v>
                </c:pt>
                <c:pt idx="9">
                  <c:v>0.26641265994486102</c:v>
                </c:pt>
                <c:pt idx="10">
                  <c:v>0.35608461137603847</c:v>
                </c:pt>
                <c:pt idx="11">
                  <c:v>0.47993364321996029</c:v>
                </c:pt>
                <c:pt idx="12">
                  <c:v>0.6282648942025536</c:v>
                </c:pt>
                <c:pt idx="13">
                  <c:v>0.80952395711552261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6C-4908-B143-79E66060A7D7}"/>
            </c:ext>
          </c:extLst>
        </c:ser>
        <c:ser>
          <c:idx val="6"/>
          <c:order val="6"/>
          <c:tx>
            <c:strRef>
              <c:f>Results!$A$11</c:f>
              <c:strCache>
                <c:ptCount val="1"/>
                <c:pt idx="0">
                  <c:v>Infra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A0-4BB8-AF1A-7F80E33442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Results!$B$106:$P$106</c:f>
              <c:numCache>
                <c:formatCode>0.00%</c:formatCode>
                <c:ptCount val="15"/>
                <c:pt idx="0">
                  <c:v>4.9950050789215619E-2</c:v>
                </c:pt>
                <c:pt idx="1">
                  <c:v>5.2804338997955093E-2</c:v>
                </c:pt>
                <c:pt idx="2">
                  <c:v>5.56586270371821E-2</c:v>
                </c:pt>
                <c:pt idx="3">
                  <c:v>5.8512916164818997E-2</c:v>
                </c:pt>
                <c:pt idx="4">
                  <c:v>6.1367204323575786E-2</c:v>
                </c:pt>
                <c:pt idx="5">
                  <c:v>6.4221493777153846E-2</c:v>
                </c:pt>
                <c:pt idx="6">
                  <c:v>6.7075782468032807E-2</c:v>
                </c:pt>
                <c:pt idx="7">
                  <c:v>6.9930071371286581E-2</c:v>
                </c:pt>
                <c:pt idx="8">
                  <c:v>7.2784358651284783E-2</c:v>
                </c:pt>
                <c:pt idx="9">
                  <c:v>7.5638649321012746E-2</c:v>
                </c:pt>
                <c:pt idx="10">
                  <c:v>7.8492937120477099E-2</c:v>
                </c:pt>
                <c:pt idx="11">
                  <c:v>8.1347306490532359E-2</c:v>
                </c:pt>
                <c:pt idx="12">
                  <c:v>8.4201515346574302E-2</c:v>
                </c:pt>
                <c:pt idx="13">
                  <c:v>8.7055803553179656E-2</c:v>
                </c:pt>
                <c:pt idx="14">
                  <c:v>8.9910089910089919E-2</c:v>
                </c:pt>
              </c:numCache>
            </c:numRef>
          </c:cat>
          <c:val>
            <c:numRef>
              <c:f>Results!$B$11:$P$11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4.4738897294425754E-2</c:v>
                </c:pt>
                <c:pt idx="4">
                  <c:v>0.11877840919868637</c:v>
                </c:pt>
                <c:pt idx="5">
                  <c:v>0.16506978751925083</c:v>
                </c:pt>
                <c:pt idx="6">
                  <c:v>0.20204489603550307</c:v>
                </c:pt>
                <c:pt idx="7">
                  <c:v>0.24509306952622573</c:v>
                </c:pt>
                <c:pt idx="8">
                  <c:v>0.28574010074360745</c:v>
                </c:pt>
                <c:pt idx="9">
                  <c:v>0.32741838001698681</c:v>
                </c:pt>
                <c:pt idx="10">
                  <c:v>0.36344178702666013</c:v>
                </c:pt>
                <c:pt idx="11">
                  <c:v>0.36599618652473831</c:v>
                </c:pt>
                <c:pt idx="12">
                  <c:v>0.34408379557395857</c:v>
                </c:pt>
                <c:pt idx="13">
                  <c:v>0.19047604288447734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6C-4908-B143-79E66060A7D7}"/>
            </c:ext>
          </c:extLst>
        </c:ser>
        <c:ser>
          <c:idx val="7"/>
          <c:order val="7"/>
          <c:tx>
            <c:strRef>
              <c:f>Results!$A$12</c:f>
              <c:strCache>
                <c:ptCount val="1"/>
                <c:pt idx="0">
                  <c:v>Timberland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45-4FDD-8954-AEFDA760A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Results!$B$106:$P$106</c:f>
              <c:numCache>
                <c:formatCode>0.00%</c:formatCode>
                <c:ptCount val="15"/>
                <c:pt idx="0">
                  <c:v>4.9950050789215619E-2</c:v>
                </c:pt>
                <c:pt idx="1">
                  <c:v>5.2804338997955093E-2</c:v>
                </c:pt>
                <c:pt idx="2">
                  <c:v>5.56586270371821E-2</c:v>
                </c:pt>
                <c:pt idx="3">
                  <c:v>5.8512916164818997E-2</c:v>
                </c:pt>
                <c:pt idx="4">
                  <c:v>6.1367204323575786E-2</c:v>
                </c:pt>
                <c:pt idx="5">
                  <c:v>6.4221493777153846E-2</c:v>
                </c:pt>
                <c:pt idx="6">
                  <c:v>6.7075782468032807E-2</c:v>
                </c:pt>
                <c:pt idx="7">
                  <c:v>6.9930071371286581E-2</c:v>
                </c:pt>
                <c:pt idx="8">
                  <c:v>7.2784358651284783E-2</c:v>
                </c:pt>
                <c:pt idx="9">
                  <c:v>7.5638649321012746E-2</c:v>
                </c:pt>
                <c:pt idx="10">
                  <c:v>7.8492937120477099E-2</c:v>
                </c:pt>
                <c:pt idx="11">
                  <c:v>8.1347306490532359E-2</c:v>
                </c:pt>
                <c:pt idx="12">
                  <c:v>8.4201515346574302E-2</c:v>
                </c:pt>
                <c:pt idx="13">
                  <c:v>8.7055803553179656E-2</c:v>
                </c:pt>
                <c:pt idx="14">
                  <c:v>8.9910089910089919E-2</c:v>
                </c:pt>
              </c:numCache>
            </c:numRef>
          </c:cat>
          <c:val>
            <c:numRef>
              <c:f>Results!$B$12:$P$12</c:f>
              <c:numCache>
                <c:formatCode>0.00%</c:formatCode>
                <c:ptCount val="15"/>
                <c:pt idx="0">
                  <c:v>0.50907004881006668</c:v>
                </c:pt>
                <c:pt idx="1">
                  <c:v>0.29342193680394663</c:v>
                </c:pt>
                <c:pt idx="2">
                  <c:v>0.22320194707580729</c:v>
                </c:pt>
                <c:pt idx="3">
                  <c:v>0.16787358837346289</c:v>
                </c:pt>
                <c:pt idx="4">
                  <c:v>0.12658116218122184</c:v>
                </c:pt>
                <c:pt idx="5">
                  <c:v>6.2574304287725716E-2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6C-4908-B143-79E66060A7D7}"/>
            </c:ext>
          </c:extLst>
        </c:ser>
        <c:ser>
          <c:idx val="8"/>
          <c:order val="8"/>
          <c:tx>
            <c:strRef>
              <c:f>Results!$A$13</c:f>
              <c:strCache>
                <c:ptCount val="1"/>
                <c:pt idx="0">
                  <c:v>Row Crops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Row Crops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FF7-40BC-9FBD-46A6449772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Results!$B$106:$P$106</c:f>
              <c:numCache>
                <c:formatCode>0.00%</c:formatCode>
                <c:ptCount val="15"/>
                <c:pt idx="0">
                  <c:v>4.9950050789215619E-2</c:v>
                </c:pt>
                <c:pt idx="1">
                  <c:v>5.2804338997955093E-2</c:v>
                </c:pt>
                <c:pt idx="2">
                  <c:v>5.56586270371821E-2</c:v>
                </c:pt>
                <c:pt idx="3">
                  <c:v>5.8512916164818997E-2</c:v>
                </c:pt>
                <c:pt idx="4">
                  <c:v>6.1367204323575786E-2</c:v>
                </c:pt>
                <c:pt idx="5">
                  <c:v>6.4221493777153846E-2</c:v>
                </c:pt>
                <c:pt idx="6">
                  <c:v>6.7075782468032807E-2</c:v>
                </c:pt>
                <c:pt idx="7">
                  <c:v>6.9930071371286581E-2</c:v>
                </c:pt>
                <c:pt idx="8">
                  <c:v>7.2784358651284783E-2</c:v>
                </c:pt>
                <c:pt idx="9">
                  <c:v>7.5638649321012746E-2</c:v>
                </c:pt>
                <c:pt idx="10">
                  <c:v>7.8492937120477099E-2</c:v>
                </c:pt>
                <c:pt idx="11">
                  <c:v>8.1347306490532359E-2</c:v>
                </c:pt>
                <c:pt idx="12">
                  <c:v>8.4201515346574302E-2</c:v>
                </c:pt>
                <c:pt idx="13">
                  <c:v>8.7055803553179656E-2</c:v>
                </c:pt>
                <c:pt idx="14">
                  <c:v>8.9910089910089919E-2</c:v>
                </c:pt>
              </c:numCache>
            </c:numRef>
          </c:cat>
          <c:val>
            <c:numRef>
              <c:f>Results!$B$13:$P$13</c:f>
              <c:numCache>
                <c:formatCode>0.00%</c:formatCode>
                <c:ptCount val="15"/>
                <c:pt idx="0">
                  <c:v>0.49092992030631422</c:v>
                </c:pt>
                <c:pt idx="1">
                  <c:v>0.50330779836804029</c:v>
                </c:pt>
                <c:pt idx="2">
                  <c:v>0.37183187434509096</c:v>
                </c:pt>
                <c:pt idx="3">
                  <c:v>0.25840597598916887</c:v>
                </c:pt>
                <c:pt idx="4">
                  <c:v>0.15503369197477745</c:v>
                </c:pt>
                <c:pt idx="5">
                  <c:v>4.4139953501301163E-2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6C-4908-B143-79E66060A7D7}"/>
            </c:ext>
          </c:extLst>
        </c:ser>
        <c:ser>
          <c:idx val="9"/>
          <c:order val="9"/>
          <c:tx>
            <c:strRef>
              <c:f>Results!$A$14</c:f>
              <c:strCache>
                <c:ptCount val="1"/>
                <c:pt idx="0">
                  <c:v>Perm Crops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5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445-4FDD-8954-AEFDA760A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Results!$B$106:$P$106</c:f>
              <c:numCache>
                <c:formatCode>0.00%</c:formatCode>
                <c:ptCount val="15"/>
                <c:pt idx="0">
                  <c:v>4.9950050789215619E-2</c:v>
                </c:pt>
                <c:pt idx="1">
                  <c:v>5.2804338997955093E-2</c:v>
                </c:pt>
                <c:pt idx="2">
                  <c:v>5.56586270371821E-2</c:v>
                </c:pt>
                <c:pt idx="3">
                  <c:v>5.8512916164818997E-2</c:v>
                </c:pt>
                <c:pt idx="4">
                  <c:v>6.1367204323575786E-2</c:v>
                </c:pt>
                <c:pt idx="5">
                  <c:v>6.4221493777153846E-2</c:v>
                </c:pt>
                <c:pt idx="6">
                  <c:v>6.7075782468032807E-2</c:v>
                </c:pt>
                <c:pt idx="7">
                  <c:v>6.9930071371286581E-2</c:v>
                </c:pt>
                <c:pt idx="8">
                  <c:v>7.2784358651284783E-2</c:v>
                </c:pt>
                <c:pt idx="9">
                  <c:v>7.5638649321012746E-2</c:v>
                </c:pt>
                <c:pt idx="10">
                  <c:v>7.8492937120477099E-2</c:v>
                </c:pt>
                <c:pt idx="11">
                  <c:v>8.1347306490532359E-2</c:v>
                </c:pt>
                <c:pt idx="12">
                  <c:v>8.4201515346574302E-2</c:v>
                </c:pt>
                <c:pt idx="13">
                  <c:v>8.7055803553179656E-2</c:v>
                </c:pt>
                <c:pt idx="14">
                  <c:v>8.9910089910089919E-2</c:v>
                </c:pt>
              </c:numCache>
            </c:numRef>
          </c:cat>
          <c:val>
            <c:numRef>
              <c:f>Results!$B$14:$P$14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7.4849263652521328E-2</c:v>
                </c:pt>
                <c:pt idx="6">
                  <c:v>0.10445741117113086</c:v>
                </c:pt>
                <c:pt idx="7">
                  <c:v>5.4503996445751303E-2</c:v>
                </c:pt>
                <c:pt idx="8">
                  <c:v>1.8723964505786235E-2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6C-4908-B143-79E66060A7D7}"/>
            </c:ext>
          </c:extLst>
        </c:ser>
        <c:ser>
          <c:idx val="10"/>
          <c:order val="10"/>
          <c:tx>
            <c:strRef>
              <c:f>Results!$A$15</c:f>
              <c:strCache>
                <c:ptCount val="1"/>
                <c:pt idx="0">
                  <c:v>REITs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Results!$B$106:$P$106</c:f>
              <c:numCache>
                <c:formatCode>0.00%</c:formatCode>
                <c:ptCount val="15"/>
                <c:pt idx="0">
                  <c:v>4.9950050789215619E-2</c:v>
                </c:pt>
                <c:pt idx="1">
                  <c:v>5.2804338997955093E-2</c:v>
                </c:pt>
                <c:pt idx="2">
                  <c:v>5.56586270371821E-2</c:v>
                </c:pt>
                <c:pt idx="3">
                  <c:v>5.8512916164818997E-2</c:v>
                </c:pt>
                <c:pt idx="4">
                  <c:v>6.1367204323575786E-2</c:v>
                </c:pt>
                <c:pt idx="5">
                  <c:v>6.4221493777153846E-2</c:v>
                </c:pt>
                <c:pt idx="6">
                  <c:v>6.7075782468032807E-2</c:v>
                </c:pt>
                <c:pt idx="7">
                  <c:v>6.9930071371286581E-2</c:v>
                </c:pt>
                <c:pt idx="8">
                  <c:v>7.2784358651284783E-2</c:v>
                </c:pt>
                <c:pt idx="9">
                  <c:v>7.5638649321012746E-2</c:v>
                </c:pt>
                <c:pt idx="10">
                  <c:v>7.8492937120477099E-2</c:v>
                </c:pt>
                <c:pt idx="11">
                  <c:v>8.1347306490532359E-2</c:v>
                </c:pt>
                <c:pt idx="12">
                  <c:v>8.4201515346574302E-2</c:v>
                </c:pt>
                <c:pt idx="13">
                  <c:v>8.7055803553179656E-2</c:v>
                </c:pt>
                <c:pt idx="14">
                  <c:v>8.9910089910089919E-2</c:v>
                </c:pt>
              </c:numCache>
            </c:numRef>
          </c:cat>
          <c:val>
            <c:numRef>
              <c:f>Results!$B$15:$P$15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6C-4908-B143-79E66060A7D7}"/>
            </c:ext>
          </c:extLst>
        </c:ser>
        <c:ser>
          <c:idx val="13"/>
          <c:order val="11"/>
          <c:tx>
            <c:strRef>
              <c:f>Results!$A$18</c:f>
              <c:strCache>
                <c:ptCount val="1"/>
                <c:pt idx="0">
                  <c:v>NCPREC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Results!$B$106:$P$106</c:f>
              <c:numCache>
                <c:formatCode>0.00%</c:formatCode>
                <c:ptCount val="15"/>
                <c:pt idx="0">
                  <c:v>4.9950050789215619E-2</c:v>
                </c:pt>
                <c:pt idx="1">
                  <c:v>5.2804338997955093E-2</c:v>
                </c:pt>
                <c:pt idx="2">
                  <c:v>5.56586270371821E-2</c:v>
                </c:pt>
                <c:pt idx="3">
                  <c:v>5.8512916164818997E-2</c:v>
                </c:pt>
                <c:pt idx="4">
                  <c:v>6.1367204323575786E-2</c:v>
                </c:pt>
                <c:pt idx="5">
                  <c:v>6.4221493777153846E-2</c:v>
                </c:pt>
                <c:pt idx="6">
                  <c:v>6.7075782468032807E-2</c:v>
                </c:pt>
                <c:pt idx="7">
                  <c:v>6.9930071371286581E-2</c:v>
                </c:pt>
                <c:pt idx="8">
                  <c:v>7.2784358651284783E-2</c:v>
                </c:pt>
                <c:pt idx="9">
                  <c:v>7.5638649321012746E-2</c:v>
                </c:pt>
                <c:pt idx="10">
                  <c:v>7.8492937120477099E-2</c:v>
                </c:pt>
                <c:pt idx="11">
                  <c:v>8.1347306490532359E-2</c:v>
                </c:pt>
                <c:pt idx="12">
                  <c:v>8.4201515346574302E-2</c:v>
                </c:pt>
                <c:pt idx="13">
                  <c:v>8.7055803553179656E-2</c:v>
                </c:pt>
                <c:pt idx="14">
                  <c:v>8.9910089910089919E-2</c:v>
                </c:pt>
              </c:numCache>
            </c:numRef>
          </c:cat>
          <c:val>
            <c:numRef>
              <c:f>Results!$B$18:$P$18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86C-4908-B143-79E66060A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40757136"/>
        <c:axId val="1740751016"/>
      </c:barChart>
      <c:catAx>
        <c:axId val="1740757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751016"/>
        <c:crosses val="autoZero"/>
        <c:auto val="1"/>
        <c:lblAlgn val="ctr"/>
        <c:lblOffset val="100"/>
        <c:noMultiLvlLbl val="0"/>
      </c:catAx>
      <c:valAx>
        <c:axId val="1740751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Asset Class Blend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75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97155</xdr:colOff>
      <xdr:row>22</xdr:row>
      <xdr:rowOff>20957</xdr:rowOff>
    </xdr:from>
    <xdr:to>
      <xdr:col>5</xdr:col>
      <xdr:colOff>838200</xdr:colOff>
      <xdr:row>23</xdr:row>
      <xdr:rowOff>1</xdr:rowOff>
    </xdr:to>
    <xdr:sp macro="" textlink="Sheet1!A1">
      <xdr:nvSpPr>
        <xdr:cNvPr id="2" name="TextBox 1">
          <a:extLst>
            <a:ext uri="{FF2B5EF4-FFF2-40B4-BE49-F238E27FC236}">
              <a16:creationId xmlns:a16="http://schemas.microsoft.com/office/drawing/2014/main" id="{3F5A650E-3333-4CA1-B014-882999B7296F}"/>
            </a:ext>
          </a:extLst>
        </xdr:cNvPr>
        <xdr:cNvSpPr txBox="1"/>
      </xdr:nvSpPr>
      <xdr:spPr>
        <a:xfrm>
          <a:off x="97155" y="4507232"/>
          <a:ext cx="5417820" cy="474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DB43403-3F11-49BE-B8BA-9EBAF17E5834}" type="TxLink">
            <a:rPr lang="en-US" sz="1800" b="1" i="1" u="none" strike="noStrike">
              <a:solidFill>
                <a:srgbClr val="FF0000"/>
              </a:solidFill>
              <a:latin typeface="Calibri"/>
              <a:cs typeface="Calibri"/>
            </a:rPr>
            <a:pPr/>
            <a:t> </a:t>
          </a:fld>
          <a:endParaRPr lang="en-US" sz="1800" b="1" i="1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439649</xdr:colOff>
      <xdr:row>24</xdr:row>
      <xdr:rowOff>88554</xdr:rowOff>
    </xdr:from>
    <xdr:to>
      <xdr:col>13</xdr:col>
      <xdr:colOff>24132</xdr:colOff>
      <xdr:row>58</xdr:row>
      <xdr:rowOff>93650</xdr:rowOff>
    </xdr:to>
    <xdr:graphicFrame macro="">
      <xdr:nvGraphicFramePr>
        <xdr:cNvPr id="2" name="Chrt_Ef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13607</xdr:colOff>
      <xdr:row>0</xdr:row>
      <xdr:rowOff>54429</xdr:rowOff>
    </xdr:from>
    <xdr:to>
      <xdr:col>3</xdr:col>
      <xdr:colOff>283508</xdr:colOff>
      <xdr:row>0</xdr:row>
      <xdr:rowOff>409014</xdr:rowOff>
    </xdr:to>
    <xdr:sp macro="[0]!RunWithExpR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027464" y="54429"/>
          <a:ext cx="1685044" cy="35458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Get</a:t>
          </a:r>
          <a:r>
            <a:rPr lang="en-US" sz="1100" b="1" baseline="0">
              <a:solidFill>
                <a:schemeClr val="bg1"/>
              </a:solidFill>
            </a:rPr>
            <a:t> New Frontier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698209</xdr:colOff>
      <xdr:row>14</xdr:row>
      <xdr:rowOff>135370</xdr:rowOff>
    </xdr:from>
    <xdr:to>
      <xdr:col>35</xdr:col>
      <xdr:colOff>210993</xdr:colOff>
      <xdr:row>61</xdr:row>
      <xdr:rowOff>159037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20B3CC-061F-EEB4-5B2A-3DC91EDC4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N:\Macro%20Committee%20Documents\Capital%20Market%20Assumptions\Feb%202025%20CMAs\Assumptions\2025%20Template%20v2.xlsx" TargetMode="External"/><Relationship Id="rId1" Type="http://schemas.openxmlformats.org/officeDocument/2006/relationships/externalLinkPath" Target="/Macro%20Committee%20Documents/Capital%20Market%20Assumptions/Feb%202025%20CMAs/Assumptions/2025%20Template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UNCH LIST"/>
      <sheetName val="Guide"/>
      <sheetName val="Summary"/>
      <sheetName val="Formatted R&amp;R Table"/>
      <sheetName val="Return Worksheet"/>
      <sheetName val="CORREL &amp; VOL CALCS--&gt;"/>
      <sheetName val="Data Selector"/>
      <sheetName val="Base Correl and Vol Calcs"/>
      <sheetName val="Desm Correl and Vol Calcs"/>
      <sheetName val="RETURNS AND CALCS--&gt;"/>
      <sheetName val="US Core RE"/>
      <sheetName val="VA RE"/>
      <sheetName val="Opp RE"/>
      <sheetName val="US Core+ RE"/>
      <sheetName val="REITs"/>
      <sheetName val="Timberland"/>
      <sheetName val="Row Crops"/>
      <sheetName val="Perm Crops"/>
      <sheetName val="Infra"/>
      <sheetName val="US Public Eq"/>
      <sheetName val="Fixed Income"/>
      <sheetName val="NCPREC"/>
      <sheetName val="Euro Core RE"/>
      <sheetName val="Asia Core RE"/>
      <sheetName val="Add-On 1"/>
      <sheetName val="Add-On 2"/>
      <sheetName val="Color Palette"/>
      <sheetName val="cpri"/>
    </sheetNames>
    <sheetDataSet>
      <sheetData sheetId="0"/>
      <sheetData sheetId="1"/>
      <sheetData sheetId="2">
        <row r="53">
          <cell r="B53" t="str">
            <v>US Core RE</v>
          </cell>
          <cell r="C53">
            <v>1</v>
          </cell>
        </row>
        <row r="54">
          <cell r="B54" t="str">
            <v>Euro Core RE</v>
          </cell>
          <cell r="C54">
            <v>0.49178433624750645</v>
          </cell>
          <cell r="D54">
            <v>1</v>
          </cell>
        </row>
        <row r="55">
          <cell r="B55" t="str">
            <v>Asia Core RE</v>
          </cell>
          <cell r="C55">
            <v>0.4063701859485192</v>
          </cell>
          <cell r="D55">
            <v>0.20530551340512021</v>
          </cell>
          <cell r="E55">
            <v>1</v>
          </cell>
        </row>
        <row r="56">
          <cell r="B56" t="str">
            <v>US Core+ RE</v>
          </cell>
          <cell r="C56">
            <v>0.93614773975189014</v>
          </cell>
          <cell r="D56">
            <v>0.38862000619974973</v>
          </cell>
          <cell r="E56">
            <v>0.40100606445244846</v>
          </cell>
          <cell r="F56">
            <v>1</v>
          </cell>
        </row>
        <row r="57">
          <cell r="B57" t="str">
            <v>VA RE</v>
          </cell>
          <cell r="C57">
            <v>0.51836772571099143</v>
          </cell>
          <cell r="D57">
            <v>0.37682862871236927</v>
          </cell>
          <cell r="E57">
            <v>0.46805982797571655</v>
          </cell>
          <cell r="F57">
            <v>0.4883041246607962</v>
          </cell>
          <cell r="G57">
            <v>1</v>
          </cell>
        </row>
        <row r="58">
          <cell r="B58" t="str">
            <v>Opp RE</v>
          </cell>
          <cell r="C58">
            <v>0.41875866564426117</v>
          </cell>
          <cell r="D58">
            <v>0.37955017662329277</v>
          </cell>
          <cell r="E58">
            <v>0.38184889373776087</v>
          </cell>
          <cell r="F58">
            <v>0.39840341819042091</v>
          </cell>
          <cell r="G58">
            <v>0.84394541509332632</v>
          </cell>
          <cell r="H58">
            <v>1</v>
          </cell>
        </row>
        <row r="59">
          <cell r="B59" t="str">
            <v>Infra</v>
          </cell>
          <cell r="C59">
            <v>0.13025924197713964</v>
          </cell>
          <cell r="D59">
            <v>0.18356389969874159</v>
          </cell>
          <cell r="E59">
            <v>0.26790911171847664</v>
          </cell>
          <cell r="F59">
            <v>0.12422167279259516</v>
          </cell>
          <cell r="G59">
            <v>0.20073438779831687</v>
          </cell>
          <cell r="H59">
            <v>0.31858695258014058</v>
          </cell>
          <cell r="I59">
            <v>1</v>
          </cell>
        </row>
        <row r="60">
          <cell r="B60" t="str">
            <v>Timberland</v>
          </cell>
          <cell r="C60">
            <v>1.6365488614244444E-2</v>
          </cell>
          <cell r="D60">
            <v>-0.15415489951473568</v>
          </cell>
          <cell r="E60">
            <v>0.25016377786354782</v>
          </cell>
          <cell r="F60">
            <v>1.2121524271471527E-2</v>
          </cell>
          <cell r="G60">
            <v>0.42275612899960735</v>
          </cell>
          <cell r="H60">
            <v>0.40042547196002543</v>
          </cell>
          <cell r="I60">
            <v>0.14894814187409311</v>
          </cell>
          <cell r="J60">
            <v>1</v>
          </cell>
        </row>
        <row r="61">
          <cell r="B61" t="str">
            <v>Row Crops</v>
          </cell>
          <cell r="C61">
            <v>6.1553659050129952E-4</v>
          </cell>
          <cell r="D61">
            <v>-5.4815845913370256E-2</v>
          </cell>
          <cell r="E61">
            <v>0.18059859113982518</v>
          </cell>
          <cell r="F61">
            <v>5.4220969959936178E-3</v>
          </cell>
          <cell r="G61">
            <v>0.35702687937587291</v>
          </cell>
          <cell r="H61">
            <v>0.43917136872550955</v>
          </cell>
          <cell r="I61">
            <v>0.24409243918404858</v>
          </cell>
          <cell r="J61">
            <v>0.61532497761650118</v>
          </cell>
          <cell r="K61">
            <v>1</v>
          </cell>
        </row>
        <row r="62">
          <cell r="B62" t="str">
            <v>Perm Crops</v>
          </cell>
          <cell r="C62">
            <v>5.8186174890781081E-2</v>
          </cell>
          <cell r="D62">
            <v>1.3253332647786333E-2</v>
          </cell>
          <cell r="E62">
            <v>0.2048482670862555</v>
          </cell>
          <cell r="F62">
            <v>5.6054916137994237E-2</v>
          </cell>
          <cell r="G62">
            <v>0.37282844293471823</v>
          </cell>
          <cell r="H62">
            <v>0.46734464897652234</v>
          </cell>
          <cell r="I62">
            <v>0.15569000593935048</v>
          </cell>
          <cell r="J62">
            <v>0.70595949374693978</v>
          </cell>
          <cell r="K62">
            <v>0.74263339371277848</v>
          </cell>
          <cell r="L62">
            <v>1</v>
          </cell>
        </row>
        <row r="63">
          <cell r="B63" t="str">
            <v>REITs</v>
          </cell>
          <cell r="C63">
            <v>0.29371264715951972</v>
          </cell>
          <cell r="D63">
            <v>0.22517547193739271</v>
          </cell>
          <cell r="E63">
            <v>0.20306003741201065</v>
          </cell>
          <cell r="F63">
            <v>0.30804285114347946</v>
          </cell>
          <cell r="G63">
            <v>0.2586604978289101</v>
          </cell>
          <cell r="H63">
            <v>0.42001737402938472</v>
          </cell>
          <cell r="I63">
            <v>0.46296971315675922</v>
          </cell>
          <cell r="J63">
            <v>3.2225676469827956E-2</v>
          </cell>
          <cell r="K63">
            <v>0.11963793088907784</v>
          </cell>
          <cell r="L63">
            <v>9.4114910889106757E-2</v>
          </cell>
          <cell r="M63">
            <v>1</v>
          </cell>
        </row>
        <row r="64">
          <cell r="B64" t="str">
            <v>US Public Eq</v>
          </cell>
          <cell r="C64">
            <v>0.19931434340850121</v>
          </cell>
          <cell r="D64">
            <v>0.16107417367360444</v>
          </cell>
          <cell r="E64">
            <v>0.13970330325384697</v>
          </cell>
          <cell r="F64">
            <v>0.23730650641618509</v>
          </cell>
          <cell r="G64">
            <v>0.28952321378749124</v>
          </cell>
          <cell r="H64">
            <v>0.38389981524705774</v>
          </cell>
          <cell r="I64">
            <v>0.3</v>
          </cell>
          <cell r="J64">
            <v>4.248622240084262E-2</v>
          </cell>
          <cell r="K64">
            <v>0.17942412429111229</v>
          </cell>
          <cell r="L64">
            <v>9.3232556763081217E-2</v>
          </cell>
          <cell r="M64">
            <v>0.75633537472470813</v>
          </cell>
          <cell r="N64">
            <v>0.99999999999999989</v>
          </cell>
        </row>
        <row r="65">
          <cell r="B65" t="str">
            <v>Fixed Income</v>
          </cell>
          <cell r="C65">
            <v>-0.19210083734202649</v>
          </cell>
          <cell r="D65">
            <v>-4.8481125684787768E-2</v>
          </cell>
          <cell r="E65">
            <v>-3.5330358448002869E-3</v>
          </cell>
          <cell r="F65">
            <v>-0.2001985365624051</v>
          </cell>
          <cell r="G65">
            <v>-8.8046221696621074E-2</v>
          </cell>
          <cell r="H65">
            <v>-7.5453812172120854E-2</v>
          </cell>
          <cell r="I65">
            <v>-5.0148496819962272E-2</v>
          </cell>
          <cell r="J65">
            <v>5.9751972703035568E-2</v>
          </cell>
          <cell r="K65">
            <v>4.3670193978834412E-3</v>
          </cell>
          <cell r="L65">
            <v>-4.3230774845831764E-3</v>
          </cell>
          <cell r="M65">
            <v>0.15572715770911591</v>
          </cell>
          <cell r="N65">
            <v>-0.10413425732896892</v>
          </cell>
          <cell r="O65">
            <v>1</v>
          </cell>
        </row>
        <row r="66">
          <cell r="B66" t="str">
            <v>NCPREC</v>
          </cell>
          <cell r="C66">
            <v>0.44609156619795981</v>
          </cell>
          <cell r="D66">
            <v>0.28384866118334762</v>
          </cell>
          <cell r="E66">
            <v>0.39582044577142367</v>
          </cell>
          <cell r="F66">
            <v>0.47809519747363022</v>
          </cell>
          <cell r="G66">
            <v>0.57692513000126033</v>
          </cell>
          <cell r="H66">
            <v>0.55411219174796555</v>
          </cell>
          <cell r="I66">
            <v>0.38739248896585171</v>
          </cell>
          <cell r="J66">
            <v>0.14746771027644337</v>
          </cell>
          <cell r="K66">
            <v>0.18792559195196989</v>
          </cell>
          <cell r="L66">
            <v>0.1137341518204424</v>
          </cell>
          <cell r="M66">
            <v>0.38097487039122058</v>
          </cell>
          <cell r="N66">
            <v>0.39409739690269135</v>
          </cell>
          <cell r="O66">
            <v>-2.2914060634543525E-2</v>
          </cell>
          <cell r="P66">
            <v>1</v>
          </cell>
        </row>
        <row r="116">
          <cell r="C116">
            <v>6.5000000000000002E-2</v>
          </cell>
          <cell r="D116">
            <v>9.705665536972638E-2</v>
          </cell>
        </row>
        <row r="117">
          <cell r="C117">
            <v>6.4000000000000001E-2</v>
          </cell>
          <cell r="D117">
            <v>9.9445456495255033E-2</v>
          </cell>
        </row>
        <row r="118">
          <cell r="C118">
            <v>6.3E-2</v>
          </cell>
          <cell r="D118">
            <v>9.8641564600530779E-2</v>
          </cell>
        </row>
        <row r="119">
          <cell r="C119">
            <v>7.0000000000000007E-2</v>
          </cell>
          <cell r="D119">
            <v>0.13768338834584978</v>
          </cell>
        </row>
        <row r="120">
          <cell r="C120">
            <v>0.08</v>
          </cell>
          <cell r="D120">
            <v>0.18067591522234688</v>
          </cell>
        </row>
        <row r="121">
          <cell r="C121">
            <v>0.09</v>
          </cell>
          <cell r="D121">
            <v>0.21137271897277665</v>
          </cell>
        </row>
        <row r="122">
          <cell r="C122">
            <v>7.4999999999999997E-2</v>
          </cell>
          <cell r="D122">
            <v>0.15238663979278766</v>
          </cell>
        </row>
        <row r="123">
          <cell r="C123">
            <v>0.05</v>
          </cell>
          <cell r="D123">
            <v>9.3725955962479776E-2</v>
          </cell>
        </row>
        <row r="124">
          <cell r="C124">
            <v>0.05</v>
          </cell>
          <cell r="D124">
            <v>8.196525805963642E-2</v>
          </cell>
        </row>
        <row r="125">
          <cell r="C125">
            <v>6.25E-2</v>
          </cell>
          <cell r="D125">
            <v>0.15003713103540986</v>
          </cell>
        </row>
        <row r="126">
          <cell r="C126">
            <v>7.0000000000000007E-2</v>
          </cell>
          <cell r="D126">
            <v>0.19777287990299294</v>
          </cell>
        </row>
        <row r="127">
          <cell r="C127">
            <v>6.5000000000000002E-2</v>
          </cell>
          <cell r="D127">
            <v>0.16715247251393101</v>
          </cell>
        </row>
        <row r="128">
          <cell r="C128">
            <v>4.7500000000000001E-2</v>
          </cell>
          <cell r="D128">
            <v>4.2419450556357756E-2</v>
          </cell>
        </row>
        <row r="129">
          <cell r="C129">
            <v>7.2499999999999995E-2</v>
          </cell>
          <cell r="D129">
            <v>0.13430426499860323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Townsend Standard">
  <a:themeElements>
    <a:clrScheme name="Townsend Standard">
      <a:dk1>
        <a:srgbClr val="000000"/>
      </a:dk1>
      <a:lt1>
        <a:sysClr val="window" lastClr="FFFFFF"/>
      </a:lt1>
      <a:dk2>
        <a:srgbClr val="003A5D"/>
      </a:dk2>
      <a:lt2>
        <a:srgbClr val="FFFFFF"/>
      </a:lt2>
      <a:accent1>
        <a:srgbClr val="003A5D"/>
      </a:accent1>
      <a:accent2>
        <a:srgbClr val="145783"/>
      </a:accent2>
      <a:accent3>
        <a:srgbClr val="5A6F5E"/>
      </a:accent3>
      <a:accent4>
        <a:srgbClr val="AFB575"/>
      </a:accent4>
      <a:accent5>
        <a:srgbClr val="8CA4A4"/>
      </a:accent5>
      <a:accent6>
        <a:srgbClr val="EC6B1D"/>
      </a:accent6>
      <a:hlink>
        <a:srgbClr val="00355D"/>
      </a:hlink>
      <a:folHlink>
        <a:srgbClr val="00355D"/>
      </a:folHlink>
    </a:clrScheme>
    <a:fontScheme name="Townsend Standard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FFFF00"/>
  </sheetPr>
  <dimension ref="A1:BH47"/>
  <sheetViews>
    <sheetView showGridLines="0" showRowColHeaders="0" zoomScaleNormal="100" workbookViewId="0">
      <selection activeCell="B5" sqref="B5"/>
    </sheetView>
  </sheetViews>
  <sheetFormatPr defaultColWidth="0" defaultRowHeight="14.4" x14ac:dyDescent="0.3"/>
  <cols>
    <col min="1" max="1" width="1.5546875" style="3" customWidth="1"/>
    <col min="2" max="2" width="24.44140625" style="16" customWidth="1"/>
    <col min="3" max="3" width="12.88671875" style="2" customWidth="1"/>
    <col min="4" max="4" width="15" style="2" customWidth="1"/>
    <col min="5" max="6" width="12.33203125" style="2" customWidth="1"/>
    <col min="7" max="7" width="9" style="47" hidden="1" customWidth="1"/>
    <col min="8" max="8" width="1.6640625" style="3" customWidth="1"/>
    <col min="9" max="9" width="19.88671875" style="16" customWidth="1"/>
    <col min="10" max="29" width="12.44140625" style="3" customWidth="1"/>
    <col min="30" max="30" width="3.6640625" style="3" customWidth="1"/>
    <col min="31" max="31" width="13.6640625" style="3" hidden="1" customWidth="1"/>
    <col min="32" max="51" width="6.44140625" style="3" hidden="1" customWidth="1"/>
    <col min="52" max="52" width="6.88671875" style="3" hidden="1" customWidth="1"/>
    <col min="53" max="53" width="10.33203125" style="3" hidden="1" customWidth="1"/>
    <col min="54" max="54" width="15.6640625" style="3" hidden="1" customWidth="1"/>
    <col min="55" max="56" width="6.44140625" style="3" hidden="1" customWidth="1"/>
    <col min="57" max="57" width="14.5546875" style="3" hidden="1" customWidth="1"/>
    <col min="58" max="58" width="8.33203125" style="3" hidden="1" customWidth="1"/>
    <col min="59" max="16384" width="9.109375" style="3" hidden="1"/>
  </cols>
  <sheetData>
    <row r="1" spans="2:60" ht="15.6" x14ac:dyDescent="0.3">
      <c r="B1" s="23" t="s">
        <v>15</v>
      </c>
      <c r="C1" s="24"/>
      <c r="D1" s="24"/>
      <c r="E1" s="24"/>
      <c r="F1" s="25"/>
      <c r="G1" s="47">
        <f>SUM(G3:G1048576)</f>
        <v>0</v>
      </c>
      <c r="I1" s="97" t="s">
        <v>17</v>
      </c>
      <c r="J1" s="98"/>
      <c r="K1" s="24"/>
      <c r="L1" s="24"/>
      <c r="M1" s="24"/>
      <c r="N1" s="24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1"/>
      <c r="AE1" s="3" t="s">
        <v>9</v>
      </c>
      <c r="AF1" s="2"/>
      <c r="AG1" s="2"/>
      <c r="AH1" s="2">
        <v>0</v>
      </c>
      <c r="AI1" s="2"/>
      <c r="AJ1" s="2"/>
      <c r="BA1" s="46" t="s">
        <v>2</v>
      </c>
      <c r="BB1" s="13">
        <f>SUMPRODUCT(C3:C22,G3:G22)-BB5</f>
        <v>0</v>
      </c>
      <c r="BC1" s="10"/>
      <c r="BD1" s="10"/>
      <c r="BE1" s="10"/>
    </row>
    <row r="2" spans="2:60" s="55" customFormat="1" ht="52.5" customHeight="1" thickBot="1" x14ac:dyDescent="0.35">
      <c r="B2" s="51" t="s">
        <v>16</v>
      </c>
      <c r="C2" s="52" t="s">
        <v>0</v>
      </c>
      <c r="D2" s="52" t="s">
        <v>1</v>
      </c>
      <c r="E2" s="52" t="s">
        <v>5</v>
      </c>
      <c r="F2" s="53" t="s">
        <v>6</v>
      </c>
      <c r="G2" s="54" t="s">
        <v>18</v>
      </c>
      <c r="I2" s="56"/>
      <c r="J2" s="48" t="str">
        <f t="array" ref="J2:AC2">TRANSPOSE(IF(B3:B22="","",B3:B22))</f>
        <v>US Core RE</v>
      </c>
      <c r="K2" s="49" t="str">
        <v>Euro Core RE</v>
      </c>
      <c r="L2" s="49" t="str">
        <v>Asia Core RE</v>
      </c>
      <c r="M2" s="49" t="str">
        <v>US Core+ RE</v>
      </c>
      <c r="N2" s="49" t="str">
        <v>VA RE</v>
      </c>
      <c r="O2" s="49" t="str">
        <v>Opp RE</v>
      </c>
      <c r="P2" s="49" t="str">
        <v>Infra</v>
      </c>
      <c r="Q2" s="49" t="str">
        <v>Timberland</v>
      </c>
      <c r="R2" s="49" t="str">
        <v>Row Crops</v>
      </c>
      <c r="S2" s="49" t="str">
        <v>Perm Crops</v>
      </c>
      <c r="T2" s="49" t="str">
        <v>REITs</v>
      </c>
      <c r="U2" s="49" t="str">
        <v>US Public Eq</v>
      </c>
      <c r="V2" s="49" t="str">
        <v>Fixed Income</v>
      </c>
      <c r="W2" s="49" t="str">
        <v>NCPREC</v>
      </c>
      <c r="X2" s="49" t="str">
        <v/>
      </c>
      <c r="Y2" s="49" t="str">
        <v/>
      </c>
      <c r="Z2" s="49" t="str">
        <v/>
      </c>
      <c r="AA2" s="49" t="str">
        <v/>
      </c>
      <c r="AB2" s="49" t="str">
        <v/>
      </c>
      <c r="AC2" s="57" t="str">
        <v/>
      </c>
      <c r="AE2" s="58"/>
      <c r="AF2" s="58" t="str">
        <f t="array" ref="AF2:AY2">TRANSPOSE(AE3:AE22)</f>
        <v>US Core RE</v>
      </c>
      <c r="AG2" s="58" t="str">
        <v>Euro Core RE</v>
      </c>
      <c r="AH2" s="58" t="str">
        <v>Asia Core RE</v>
      </c>
      <c r="AI2" s="58" t="str">
        <v>US Core+ RE</v>
      </c>
      <c r="AJ2" s="58" t="str">
        <v>VA RE</v>
      </c>
      <c r="AK2" s="58" t="str">
        <v>Opp RE</v>
      </c>
      <c r="AL2" s="58" t="str">
        <v>Infra</v>
      </c>
      <c r="AM2" s="58" t="str">
        <v>Timberland</v>
      </c>
      <c r="AN2" s="58" t="str">
        <v>Row Crops</v>
      </c>
      <c r="AO2" s="58" t="str">
        <v>Perm Crops</v>
      </c>
      <c r="AP2" s="55" t="str">
        <v>REITs</v>
      </c>
      <c r="AQ2" s="55" t="str">
        <v>US Public Eq</v>
      </c>
      <c r="AR2" s="55" t="str">
        <v>Fixed Income</v>
      </c>
      <c r="AS2" s="55" t="str">
        <v>NCPREC</v>
      </c>
      <c r="AT2" s="55" t="str">
        <v/>
      </c>
      <c r="AU2" s="55" t="str">
        <v/>
      </c>
      <c r="AV2" s="55" t="str">
        <v/>
      </c>
      <c r="AW2" s="55" t="str">
        <v/>
      </c>
      <c r="AX2" s="55" t="str">
        <v/>
      </c>
      <c r="AY2" s="55" t="str">
        <v/>
      </c>
      <c r="BA2" s="59" t="s">
        <v>11</v>
      </c>
      <c r="BB2" s="60">
        <f>SQRT(SUM(AF23:AY23))</f>
        <v>0</v>
      </c>
      <c r="BC2" s="61"/>
      <c r="BD2" s="61" t="s">
        <v>13</v>
      </c>
      <c r="BE2" s="62">
        <v>0.05</v>
      </c>
      <c r="BF2" s="63"/>
    </row>
    <row r="3" spans="2:60" x14ac:dyDescent="0.3">
      <c r="B3" s="26" t="str">
        <f>Sheet2!D6</f>
        <v>US Core RE</v>
      </c>
      <c r="C3" s="38">
        <f>[1]Summary!C116</f>
        <v>6.5000000000000002E-2</v>
      </c>
      <c r="D3" s="38">
        <f>[1]Summary!D116</f>
        <v>9.705665536972638E-2</v>
      </c>
      <c r="E3" s="38">
        <v>1</v>
      </c>
      <c r="F3" s="39">
        <v>0</v>
      </c>
      <c r="G3"/>
      <c r="I3" s="34" t="str">
        <f t="shared" ref="I3:I22" si="0">IF(B3="","",B3)</f>
        <v>US Core RE</v>
      </c>
      <c r="J3" s="17">
        <f>IF(I3="","",1)</f>
        <v>1</v>
      </c>
      <c r="K3" s="44">
        <f t="shared" ref="K3:AC3" si="1">INDEX(Data_Array,MATCH(K$2,Rows,0),MATCH($I3,Columns,0))</f>
        <v>0.49178433624750645</v>
      </c>
      <c r="L3" s="44">
        <f t="shared" si="1"/>
        <v>0.4063701859485192</v>
      </c>
      <c r="M3" s="44">
        <f t="shared" si="1"/>
        <v>0.93614773975189014</v>
      </c>
      <c r="N3" s="44">
        <f t="shared" si="1"/>
        <v>0.51836772571099143</v>
      </c>
      <c r="O3" s="44">
        <f t="shared" si="1"/>
        <v>0.41875866564426117</v>
      </c>
      <c r="P3" s="44">
        <f t="shared" si="1"/>
        <v>0.13025924197713964</v>
      </c>
      <c r="Q3" s="44">
        <f t="shared" si="1"/>
        <v>1.6365488614244444E-2</v>
      </c>
      <c r="R3" s="44">
        <f t="shared" si="1"/>
        <v>6.1553659050129952E-4</v>
      </c>
      <c r="S3" s="44">
        <f t="shared" si="1"/>
        <v>5.8186174890781081E-2</v>
      </c>
      <c r="T3" s="44">
        <f t="shared" si="1"/>
        <v>0.29371264715951972</v>
      </c>
      <c r="U3" s="44">
        <f t="shared" si="1"/>
        <v>0.19931434340850121</v>
      </c>
      <c r="V3" s="44">
        <f t="shared" si="1"/>
        <v>-0.19210083734202649</v>
      </c>
      <c r="W3" s="44">
        <f t="shared" si="1"/>
        <v>0.44609156619795981</v>
      </c>
      <c r="X3" s="44">
        <f t="shared" si="1"/>
        <v>0</v>
      </c>
      <c r="Y3" s="44">
        <f t="shared" si="1"/>
        <v>0</v>
      </c>
      <c r="Z3" s="44">
        <f t="shared" si="1"/>
        <v>0</v>
      </c>
      <c r="AA3" s="44">
        <f t="shared" si="1"/>
        <v>0</v>
      </c>
      <c r="AB3" s="44">
        <f t="shared" si="1"/>
        <v>0</v>
      </c>
      <c r="AC3" s="45">
        <f t="shared" si="1"/>
        <v>0</v>
      </c>
      <c r="AE3" s="4" t="str">
        <f t="shared" ref="AE3:AE22" si="2">I3</f>
        <v>US Core RE</v>
      </c>
      <c r="AF3" s="6">
        <f t="shared" ref="AF3" si="3">IF(OR($AE3="",AF$2=""),"",J3*VLOOKUP($AE3,$B$2:$D$22,3,0)*VLOOKUP(AF$2,$B$2:$D$22,3,0))</f>
        <v>9.4199943515578359E-3</v>
      </c>
      <c r="AG3" s="6">
        <f t="shared" ref="AG3" si="4">IF(OR($AE3="",AG$2=""),"",K3*VLOOKUP($AE3,$B$2:$D$22,3,0)*VLOOKUP(AG$2,$B$2:$D$22,3,0))</f>
        <v>4.7466253996134421E-3</v>
      </c>
      <c r="AH3" s="6">
        <f t="shared" ref="AH3" si="5">IF(OR($AE3="",AH$2=""),"",L3*VLOOKUP($AE3,$B$2:$D$22,3,0)*VLOOKUP(AH$2,$B$2:$D$22,3,0))</f>
        <v>3.890515152032837E-3</v>
      </c>
      <c r="AI3" s="6">
        <f t="shared" ref="AI3" si="6">IF(OR($AE3="",AI$2=""),"",M3*VLOOKUP($AE3,$B$2:$D$22,3,0)*VLOOKUP(AI$2,$B$2:$D$22,3,0))</f>
        <v>1.2509825725237785E-2</v>
      </c>
      <c r="AJ3" s="6">
        <f t="shared" ref="AJ3" si="7">IF(OR($AE3="",AJ$2=""),"",N3*VLOOKUP($AE3,$B$2:$D$22,3,0)*VLOOKUP(AJ$2,$B$2:$D$22,3,0))</f>
        <v>9.0899927838813625E-3</v>
      </c>
      <c r="AK3" s="6">
        <f t="shared" ref="AK3" si="8">IF(OR($AE3="",AK$2=""),"",O3*VLOOKUP($AE3,$B$2:$D$22,3,0)*VLOOKUP(AK$2,$B$2:$D$22,3,0))</f>
        <v>8.5908881041453986E-3</v>
      </c>
      <c r="AL3" s="6">
        <f t="shared" ref="AL3" si="9">IF(OR($AE3="",AL$2=""),"",P3*VLOOKUP($AE3,$B$2:$D$22,3,0)*VLOOKUP(AL$2,$B$2:$D$22,3,0))</f>
        <v>1.9265521100802476E-3</v>
      </c>
      <c r="AM3" s="6">
        <f t="shared" ref="AM3" si="10">IF(OR($AE3="",AM$2=""),"",Q3*VLOOKUP($AE3,$B$2:$D$22,3,0)*VLOOKUP(AM$2,$B$2:$D$22,3,0))</f>
        <v>1.4887239535313389E-4</v>
      </c>
      <c r="AN3" s="6">
        <f t="shared" ref="AN3" si="11">IF(OR($AE3="",AN$2=""),"",R3*VLOOKUP($AE3,$B$2:$D$22,3,0)*VLOOKUP(AN$2,$B$2:$D$22,3,0))</f>
        <v>4.8967621136860124E-6</v>
      </c>
      <c r="AO3" s="6">
        <f t="shared" ref="AO3" si="12">IF(OR($AE3="",AO$2=""),"",S3*VLOOKUP($AE3,$B$2:$D$22,3,0)*VLOOKUP(AO$2,$B$2:$D$22,3,0))</f>
        <v>8.4731302070649591E-4</v>
      </c>
      <c r="AP3" s="6">
        <f t="shared" ref="AP3" si="13">IF(OR($AE3="",AP$2=""),"",T3*VLOOKUP($AE3,$B$2:$D$22,3,0)*VLOOKUP(AP$2,$B$2:$D$22,3,0))</f>
        <v>5.6378654405464168E-3</v>
      </c>
      <c r="AQ3" s="6">
        <f t="shared" ref="AQ3" si="14">IF(OR($AE3="",AQ$2=""),"",U3*VLOOKUP($AE3,$B$2:$D$22,3,0)*VLOOKUP(AQ$2,$B$2:$D$22,3,0))</f>
        <v>3.2335283986974044E-3</v>
      </c>
      <c r="AR3" s="6">
        <f t="shared" ref="AR3" si="15">IF(OR($AE3="",AR$2=""),"",V3*VLOOKUP($AE3,$B$2:$D$22,3,0)*VLOOKUP(AR$2,$B$2:$D$22,3,0))</f>
        <v>-7.908964351871807E-4</v>
      </c>
      <c r="AS3" s="6">
        <f t="shared" ref="AS3" si="16">IF(OR($AE3="",AS$2=""),"",W3*VLOOKUP($AE3,$B$2:$D$22,3,0)*VLOOKUP(AS$2,$B$2:$D$22,3,0))</f>
        <v>5.8148583287749274E-3</v>
      </c>
      <c r="AT3" s="6" t="str">
        <f t="shared" ref="AT3" si="17">IF(OR($AE3="",AT$2=""),"",X3*VLOOKUP($AE3,$B$2:$D$22,3,0)*VLOOKUP(AT$2,$B$2:$D$22,3,0))</f>
        <v/>
      </c>
      <c r="AU3" s="6" t="str">
        <f t="shared" ref="AU3" si="18">IF(OR($AE3="",AU$2=""),"",Y3*VLOOKUP($AE3,$B$2:$D$22,3,0)*VLOOKUP(AU$2,$B$2:$D$22,3,0))</f>
        <v/>
      </c>
      <c r="AV3" s="6" t="str">
        <f t="shared" ref="AV3" si="19">IF(OR($AE3="",AV$2=""),"",Z3*VLOOKUP($AE3,$B$2:$D$22,3,0)*VLOOKUP(AV$2,$B$2:$D$22,3,0))</f>
        <v/>
      </c>
      <c r="AW3" s="6" t="str">
        <f t="shared" ref="AW3" si="20">IF(OR($AE3="",AW$2=""),"",AA3*VLOOKUP($AE3,$B$2:$D$22,3,0)*VLOOKUP(AW$2,$B$2:$D$22,3,0))</f>
        <v/>
      </c>
      <c r="AX3" s="6" t="str">
        <f t="shared" ref="AX3" si="21">IF(OR($AE3="",AX$2=""),"",AB3*VLOOKUP($AE3,$B$2:$D$22,3,0)*VLOOKUP(AX$2,$B$2:$D$22,3,0))</f>
        <v/>
      </c>
      <c r="AY3" s="6" t="str">
        <f t="shared" ref="AY3" si="22">IF(OR($AE3="",AY$2=""),"",AC3*VLOOKUP($AE3,$B$2:$D$22,3,0)*VLOOKUP(AY$2,$B$2:$D$22,3,0))</f>
        <v/>
      </c>
      <c r="BA3" s="46" t="s">
        <v>3</v>
      </c>
      <c r="BB3" s="14" t="e">
        <f>BB1/BB2</f>
        <v>#DIV/0!</v>
      </c>
      <c r="BC3" s="9"/>
      <c r="BD3" s="9" t="s">
        <v>14</v>
      </c>
      <c r="BE3" s="12">
        <v>9.000000238418579E-2</v>
      </c>
      <c r="BF3" s="5"/>
    </row>
    <row r="4" spans="2:60" x14ac:dyDescent="0.3">
      <c r="B4" s="27" t="str">
        <f>Sheet2!D7</f>
        <v>Euro Core RE</v>
      </c>
      <c r="C4" s="40">
        <f>[1]Summary!C117</f>
        <v>6.4000000000000001E-2</v>
      </c>
      <c r="D4" s="40">
        <f>[1]Summary!D117</f>
        <v>9.9445456495255033E-2</v>
      </c>
      <c r="E4" s="40">
        <v>1</v>
      </c>
      <c r="F4" s="41">
        <v>0</v>
      </c>
      <c r="G4"/>
      <c r="I4" s="35" t="str">
        <f t="shared" si="0"/>
        <v>Euro Core RE</v>
      </c>
      <c r="J4" s="18">
        <f>Sheet2!E7</f>
        <v>0.49178433624750645</v>
      </c>
      <c r="K4" s="19">
        <f>IF(I4="","",1)</f>
        <v>1</v>
      </c>
      <c r="L4" s="44">
        <f t="shared" ref="L4:AC4" si="23">INDEX(Data_Array,MATCH(L$2,Rows,0),MATCH($I4,Columns,0))</f>
        <v>0.20530551340512021</v>
      </c>
      <c r="M4" s="44">
        <f t="shared" si="23"/>
        <v>0.38862000619974973</v>
      </c>
      <c r="N4" s="44">
        <f t="shared" si="23"/>
        <v>0.37682862871236927</v>
      </c>
      <c r="O4" s="44">
        <f t="shared" si="23"/>
        <v>0.37955017662329277</v>
      </c>
      <c r="P4" s="44">
        <f t="shared" si="23"/>
        <v>0.18356389969874159</v>
      </c>
      <c r="Q4" s="44">
        <f t="shared" si="23"/>
        <v>-0.15415489951473568</v>
      </c>
      <c r="R4" s="44">
        <f t="shared" si="23"/>
        <v>-5.4815845913370256E-2</v>
      </c>
      <c r="S4" s="44">
        <f t="shared" si="23"/>
        <v>1.3253332647786333E-2</v>
      </c>
      <c r="T4" s="44">
        <f t="shared" si="23"/>
        <v>0.22517547193739271</v>
      </c>
      <c r="U4" s="44">
        <f t="shared" si="23"/>
        <v>0.16107417367360444</v>
      </c>
      <c r="V4" s="44">
        <f t="shared" si="23"/>
        <v>-4.8481125684787768E-2</v>
      </c>
      <c r="W4" s="44">
        <f t="shared" si="23"/>
        <v>0.28384866118334762</v>
      </c>
      <c r="X4" s="44">
        <f t="shared" si="23"/>
        <v>0</v>
      </c>
      <c r="Y4" s="44">
        <f t="shared" si="23"/>
        <v>0</v>
      </c>
      <c r="Z4" s="44">
        <f t="shared" si="23"/>
        <v>0</v>
      </c>
      <c r="AA4" s="44">
        <f t="shared" si="23"/>
        <v>0</v>
      </c>
      <c r="AB4" s="44">
        <f t="shared" si="23"/>
        <v>0</v>
      </c>
      <c r="AC4" s="45">
        <f t="shared" si="23"/>
        <v>0</v>
      </c>
      <c r="AE4" s="4" t="str">
        <f t="shared" si="2"/>
        <v>Euro Core RE</v>
      </c>
      <c r="AF4" s="6">
        <f t="shared" ref="AF4:AF22" si="24">IF(OR($AE4="",AF$2=""),"",J4*VLOOKUP($AE4,$B$2:$D$22,3,0)*VLOOKUP(AF$2,$B$2:$D$22,3,0))</f>
        <v>4.7466253996134421E-3</v>
      </c>
      <c r="AG4" s="6">
        <f t="shared" ref="AG4:AG22" si="25">IF(OR($AE4="",AG$2=""),"",K4*VLOOKUP($AE4,$B$2:$D$22,3,0)*VLOOKUP(AG$2,$B$2:$D$22,3,0))</f>
        <v>9.8893988175496623E-3</v>
      </c>
      <c r="AH4" s="6">
        <f t="shared" ref="AH4:AH22" si="26">IF(OR($AE4="",AH$2=""),"",L4*VLOOKUP($AE4,$B$2:$D$22,3,0)*VLOOKUP(AH$2,$B$2:$D$22,3,0))</f>
        <v>2.013935281454801E-3</v>
      </c>
      <c r="AI4" s="6">
        <f t="shared" ref="AI4:AI22" si="27">IF(OR($AE4="",AI$2=""),"",M4*VLOOKUP($AE4,$B$2:$D$22,3,0)*VLOOKUP(AI$2,$B$2:$D$22,3,0))</f>
        <v>5.320980230554738E-3</v>
      </c>
      <c r="AJ4" s="6">
        <f t="shared" ref="AJ4:AJ22" si="28">IF(OR($AE4="",AJ$2=""),"",N4*VLOOKUP($AE4,$B$2:$D$22,3,0)*VLOOKUP(AJ$2,$B$2:$D$22,3,0))</f>
        <v>6.7706302765738651E-3</v>
      </c>
      <c r="AK4" s="6">
        <f t="shared" ref="AK4:AK22" si="29">IF(OR($AE4="",AK$2=""),"",O4*VLOOKUP($AE4,$B$2:$D$22,3,0)*VLOOKUP(AK$2,$B$2:$D$22,3,0))</f>
        <v>7.9781661681721881E-3</v>
      </c>
      <c r="AL4" s="6">
        <f t="shared" ref="AL4:AL22" si="30">IF(OR($AE4="",AL$2=""),"",P4*VLOOKUP($AE4,$B$2:$D$22,3,0)*VLOOKUP(AL$2,$B$2:$D$22,3,0))</f>
        <v>2.7817565149799157E-3</v>
      </c>
      <c r="AM4" s="6">
        <f t="shared" ref="AM4:AM22" si="31">IF(OR($AE4="",AM$2=""),"",Q4*VLOOKUP($AE4,$B$2:$D$22,3,0)*VLOOKUP(AM$2,$B$2:$D$22,3,0))</f>
        <v>-1.4368193129148076E-3</v>
      </c>
      <c r="AN4" s="6">
        <f t="shared" ref="AN4:AN22" si="32">IF(OR($AE4="",AN$2=""),"",R4*VLOOKUP($AE4,$B$2:$D$22,3,0)*VLOOKUP(AN$2,$B$2:$D$22,3,0))</f>
        <v>-4.4680793443493836E-4</v>
      </c>
      <c r="AO4" s="6">
        <f t="shared" ref="AO4:AO22" si="33">IF(OR($AE4="",AO$2=""),"",S4*VLOOKUP($AE4,$B$2:$D$22,3,0)*VLOOKUP(AO$2,$B$2:$D$22,3,0))</f>
        <v>1.9774649538638713E-4</v>
      </c>
      <c r="AP4" s="6">
        <f t="shared" ref="AP4:AP22" si="34">IF(OR($AE4="",AP$2=""),"",T4*VLOOKUP($AE4,$B$2:$D$22,3,0)*VLOOKUP(AP$2,$B$2:$D$22,3,0))</f>
        <v>4.4286643373646194E-3</v>
      </c>
      <c r="AQ4" s="6">
        <f t="shared" ref="AQ4:AQ22" si="35">IF(OR($AE4="",AQ$2=""),"",U4*VLOOKUP($AE4,$B$2:$D$22,3,0)*VLOOKUP(AQ$2,$B$2:$D$22,3,0))</f>
        <v>2.6774641391767409E-3</v>
      </c>
      <c r="AR4" s="6">
        <f t="shared" ref="AR4:AR22" si="36">IF(OR($AE4="",AR$2=""),"",V4*VLOOKUP($AE4,$B$2:$D$22,3,0)*VLOOKUP(AR$2,$B$2:$D$22,3,0))</f>
        <v>-2.0451382898601693E-4</v>
      </c>
      <c r="AS4" s="6">
        <f t="shared" ref="AS4:AS22" si="37">IF(OR($AE4="",AS$2=""),"",W4*VLOOKUP($AE4,$B$2:$D$22,3,0)*VLOOKUP(AS$2,$B$2:$D$22,3,0))</f>
        <v>3.7910682260328486E-3</v>
      </c>
      <c r="AT4" s="6" t="str">
        <f t="shared" ref="AT4:AT22" si="38">IF(OR($AE4="",AT$2=""),"",X4*VLOOKUP($AE4,$B$2:$D$22,3,0)*VLOOKUP(AT$2,$B$2:$D$22,3,0))</f>
        <v/>
      </c>
      <c r="AU4" s="6" t="str">
        <f t="shared" ref="AU4:AU22" si="39">IF(OR($AE4="",AU$2=""),"",Y4*VLOOKUP($AE4,$B$2:$D$22,3,0)*VLOOKUP(AU$2,$B$2:$D$22,3,0))</f>
        <v/>
      </c>
      <c r="AV4" s="6" t="str">
        <f t="shared" ref="AV4:AV22" si="40">IF(OR($AE4="",AV$2=""),"",Z4*VLOOKUP($AE4,$B$2:$D$22,3,0)*VLOOKUP(AV$2,$B$2:$D$22,3,0))</f>
        <v/>
      </c>
      <c r="AW4" s="6" t="str">
        <f t="shared" ref="AW4:AW22" si="41">IF(OR($AE4="",AW$2=""),"",AA4*VLOOKUP($AE4,$B$2:$D$22,3,0)*VLOOKUP(AW$2,$B$2:$D$22,3,0))</f>
        <v/>
      </c>
      <c r="AX4" s="6" t="str">
        <f t="shared" ref="AX4:AX22" si="42">IF(OR($AE4="",AX$2=""),"",AB4*VLOOKUP($AE4,$B$2:$D$22,3,0)*VLOOKUP(AX$2,$B$2:$D$22,3,0))</f>
        <v/>
      </c>
      <c r="AY4" s="6" t="str">
        <f t="shared" ref="AY4:AY22" si="43">IF(OR($AE4="",AY$2=""),"",AC4*VLOOKUP($AE4,$B$2:$D$22,3,0)*VLOOKUP(AY$2,$B$2:$D$22,3,0))</f>
        <v/>
      </c>
      <c r="BA4" s="46" t="s">
        <v>12</v>
      </c>
      <c r="BB4" s="12">
        <v>9.0000002384185832E-2</v>
      </c>
      <c r="BC4" s="9"/>
      <c r="BD4" s="9"/>
      <c r="BE4" s="15">
        <f>(Target_Max-BE2)/10</f>
        <v>4.0000002384185784E-3</v>
      </c>
    </row>
    <row r="5" spans="2:60" x14ac:dyDescent="0.3">
      <c r="B5" s="26" t="str">
        <f>Sheet2!D8</f>
        <v>Asia Core RE</v>
      </c>
      <c r="C5" s="38">
        <f>[1]Summary!C118</f>
        <v>6.3E-2</v>
      </c>
      <c r="D5" s="38">
        <f>[1]Summary!D118</f>
        <v>9.8641564600530779E-2</v>
      </c>
      <c r="E5" s="38">
        <v>1</v>
      </c>
      <c r="F5" s="39">
        <v>0</v>
      </c>
      <c r="G5"/>
      <c r="I5" s="36" t="str">
        <f t="shared" si="0"/>
        <v>Asia Core RE</v>
      </c>
      <c r="J5" s="20">
        <f>Sheet2!E8</f>
        <v>0.4063701859485192</v>
      </c>
      <c r="K5" s="21">
        <f>Sheet2!F8</f>
        <v>0.20530551340512021</v>
      </c>
      <c r="L5" s="19">
        <f>IF(I5="","",1)</f>
        <v>1</v>
      </c>
      <c r="M5" s="44">
        <f t="shared" ref="M5:AC5" si="44">INDEX(Data_Array,MATCH(M$2,Rows,0),MATCH($I5,Columns,0))</f>
        <v>0.40100606445244846</v>
      </c>
      <c r="N5" s="44">
        <f t="shared" si="44"/>
        <v>0.46805982797571655</v>
      </c>
      <c r="O5" s="44">
        <f t="shared" si="44"/>
        <v>0.38184889373776087</v>
      </c>
      <c r="P5" s="44">
        <f t="shared" si="44"/>
        <v>0.26790911171847664</v>
      </c>
      <c r="Q5" s="44">
        <f t="shared" si="44"/>
        <v>0.25016377786354782</v>
      </c>
      <c r="R5" s="44">
        <f t="shared" si="44"/>
        <v>0.18059859113982518</v>
      </c>
      <c r="S5" s="44">
        <f t="shared" si="44"/>
        <v>0.2048482670862555</v>
      </c>
      <c r="T5" s="44">
        <f t="shared" si="44"/>
        <v>0.20306003741201065</v>
      </c>
      <c r="U5" s="44">
        <f t="shared" si="44"/>
        <v>0.13970330325384697</v>
      </c>
      <c r="V5" s="44">
        <f t="shared" si="44"/>
        <v>-3.5330358448002869E-3</v>
      </c>
      <c r="W5" s="44">
        <f t="shared" si="44"/>
        <v>0.39582044577142367</v>
      </c>
      <c r="X5" s="44">
        <f t="shared" si="44"/>
        <v>0</v>
      </c>
      <c r="Y5" s="44">
        <f t="shared" si="44"/>
        <v>0</v>
      </c>
      <c r="Z5" s="44">
        <f t="shared" si="44"/>
        <v>0</v>
      </c>
      <c r="AA5" s="44">
        <f t="shared" si="44"/>
        <v>0</v>
      </c>
      <c r="AB5" s="44">
        <f t="shared" si="44"/>
        <v>0</v>
      </c>
      <c r="AC5" s="45">
        <f t="shared" si="44"/>
        <v>0</v>
      </c>
      <c r="AE5" s="4" t="str">
        <f t="shared" si="2"/>
        <v>Asia Core RE</v>
      </c>
      <c r="AF5" s="6">
        <f t="shared" si="24"/>
        <v>3.890515152032837E-3</v>
      </c>
      <c r="AG5" s="6">
        <f t="shared" si="25"/>
        <v>2.013935281454801E-3</v>
      </c>
      <c r="AH5" s="6">
        <f t="shared" si="26"/>
        <v>9.7301582668406876E-3</v>
      </c>
      <c r="AI5" s="6">
        <f t="shared" si="27"/>
        <v>5.4461856063982069E-3</v>
      </c>
      <c r="AJ5" s="6">
        <f t="shared" si="28"/>
        <v>8.341834786215644E-3</v>
      </c>
      <c r="AK5" s="6">
        <f t="shared" si="29"/>
        <v>7.9616012564221982E-3</v>
      </c>
      <c r="AL5" s="6">
        <f t="shared" si="30"/>
        <v>4.0271177602309209E-3</v>
      </c>
      <c r="AM5" s="6">
        <f t="shared" si="31"/>
        <v>2.3128329063324187E-3</v>
      </c>
      <c r="AN5" s="6">
        <f t="shared" si="32"/>
        <v>1.4601723515087807E-3</v>
      </c>
      <c r="AO5" s="6">
        <f t="shared" si="33"/>
        <v>3.031733325920508E-3</v>
      </c>
      <c r="AP5" s="6">
        <f t="shared" si="34"/>
        <v>3.9614223881998568E-3</v>
      </c>
      <c r="AQ5" s="6">
        <f t="shared" si="35"/>
        <v>2.303453408410996E-3</v>
      </c>
      <c r="AR5" s="6">
        <f t="shared" si="36"/>
        <v>-1.478335598154688E-5</v>
      </c>
      <c r="AS5" s="6">
        <f t="shared" si="37"/>
        <v>5.2438224701290741E-3</v>
      </c>
      <c r="AT5" s="6" t="str">
        <f t="shared" si="38"/>
        <v/>
      </c>
      <c r="AU5" s="6" t="str">
        <f t="shared" si="39"/>
        <v/>
      </c>
      <c r="AV5" s="6" t="str">
        <f t="shared" si="40"/>
        <v/>
      </c>
      <c r="AW5" s="6" t="str">
        <f t="shared" si="41"/>
        <v/>
      </c>
      <c r="AX5" s="6" t="str">
        <f t="shared" si="42"/>
        <v/>
      </c>
      <c r="AY5" s="6" t="str">
        <f t="shared" si="43"/>
        <v/>
      </c>
      <c r="BA5" s="46" t="s">
        <v>10</v>
      </c>
      <c r="BB5" s="11">
        <v>0</v>
      </c>
      <c r="BC5" s="9"/>
      <c r="BD5" s="9"/>
      <c r="BE5" s="9"/>
    </row>
    <row r="6" spans="2:60" x14ac:dyDescent="0.3">
      <c r="B6" s="27" t="str">
        <f>Sheet2!D9</f>
        <v>US Core+ RE</v>
      </c>
      <c r="C6" s="40">
        <f>[1]Summary!C119</f>
        <v>7.0000000000000007E-2</v>
      </c>
      <c r="D6" s="40">
        <f>[1]Summary!D119</f>
        <v>0.13768338834584978</v>
      </c>
      <c r="E6" s="40">
        <v>1</v>
      </c>
      <c r="F6" s="41">
        <v>0</v>
      </c>
      <c r="G6"/>
      <c r="I6" s="35" t="str">
        <f t="shared" si="0"/>
        <v>US Core+ RE</v>
      </c>
      <c r="J6" s="18">
        <f>Sheet2!E9</f>
        <v>0.93614773975189014</v>
      </c>
      <c r="K6" s="29">
        <f>Sheet2!F9</f>
        <v>0.38862000619974973</v>
      </c>
      <c r="L6" s="29">
        <f>Sheet2!G9</f>
        <v>0.40100606445244846</v>
      </c>
      <c r="M6" s="19">
        <f>IF(I6="","",1)</f>
        <v>1</v>
      </c>
      <c r="N6" s="44">
        <f t="shared" ref="N6:AC6" si="45">INDEX(Data_Array,MATCH(N$2,Rows,0),MATCH($I6,Columns,0))</f>
        <v>0.4883041246607962</v>
      </c>
      <c r="O6" s="44">
        <f t="shared" si="45"/>
        <v>0.39840341819042091</v>
      </c>
      <c r="P6" s="44">
        <f t="shared" si="45"/>
        <v>0.12422167279259516</v>
      </c>
      <c r="Q6" s="44">
        <f t="shared" si="45"/>
        <v>1.2121524271471527E-2</v>
      </c>
      <c r="R6" s="44">
        <f t="shared" si="45"/>
        <v>5.4220969959936178E-3</v>
      </c>
      <c r="S6" s="44">
        <f t="shared" si="45"/>
        <v>5.6054916137994237E-2</v>
      </c>
      <c r="T6" s="44">
        <f t="shared" si="45"/>
        <v>0.30804285114347946</v>
      </c>
      <c r="U6" s="44">
        <f t="shared" si="45"/>
        <v>0.23730650641618509</v>
      </c>
      <c r="V6" s="44">
        <f t="shared" si="45"/>
        <v>-0.2001985365624051</v>
      </c>
      <c r="W6" s="44">
        <f t="shared" si="45"/>
        <v>0.47809519747363022</v>
      </c>
      <c r="X6" s="44">
        <f t="shared" si="45"/>
        <v>0</v>
      </c>
      <c r="Y6" s="44">
        <f t="shared" si="45"/>
        <v>0</v>
      </c>
      <c r="Z6" s="44">
        <f t="shared" si="45"/>
        <v>0</v>
      </c>
      <c r="AA6" s="44">
        <f t="shared" si="45"/>
        <v>0</v>
      </c>
      <c r="AB6" s="44">
        <f t="shared" si="45"/>
        <v>0</v>
      </c>
      <c r="AC6" s="45">
        <f t="shared" si="45"/>
        <v>0</v>
      </c>
      <c r="AE6" s="4" t="str">
        <f t="shared" si="2"/>
        <v>US Core+ RE</v>
      </c>
      <c r="AF6" s="6">
        <f t="shared" si="24"/>
        <v>1.2509825725237783E-2</v>
      </c>
      <c r="AG6" s="6">
        <f t="shared" si="25"/>
        <v>5.320980230554738E-3</v>
      </c>
      <c r="AH6" s="6">
        <f t="shared" si="26"/>
        <v>5.4461856063982069E-3</v>
      </c>
      <c r="AI6" s="6">
        <f t="shared" si="27"/>
        <v>1.8956715426394082E-2</v>
      </c>
      <c r="AJ6" s="6">
        <f t="shared" si="28"/>
        <v>1.2147088660766364E-2</v>
      </c>
      <c r="AK6" s="6">
        <f t="shared" si="29"/>
        <v>1.1594540319303778E-2</v>
      </c>
      <c r="AL6" s="6">
        <f t="shared" si="30"/>
        <v>2.606308445261162E-3</v>
      </c>
      <c r="AM6" s="6">
        <f t="shared" si="31"/>
        <v>1.5642229714972979E-4</v>
      </c>
      <c r="AN6" s="6">
        <f t="shared" si="32"/>
        <v>6.1189744286488317E-5</v>
      </c>
      <c r="AO6" s="6">
        <f t="shared" si="33"/>
        <v>1.1579611891464768E-3</v>
      </c>
      <c r="AP6" s="6">
        <f t="shared" si="34"/>
        <v>8.3880192285727129E-3</v>
      </c>
      <c r="AQ6" s="6">
        <f t="shared" si="35"/>
        <v>5.4614001273775642E-3</v>
      </c>
      <c r="AR6" s="6">
        <f t="shared" si="36"/>
        <v>-1.1692502804710966E-3</v>
      </c>
      <c r="AS6" s="6">
        <f t="shared" si="37"/>
        <v>8.8406812199915922E-3</v>
      </c>
      <c r="AT6" s="6" t="str">
        <f t="shared" si="38"/>
        <v/>
      </c>
      <c r="AU6" s="6" t="str">
        <f t="shared" si="39"/>
        <v/>
      </c>
      <c r="AV6" s="6" t="str">
        <f t="shared" si="40"/>
        <v/>
      </c>
      <c r="AW6" s="6" t="str">
        <f t="shared" si="41"/>
        <v/>
      </c>
      <c r="AX6" s="6" t="str">
        <f t="shared" si="42"/>
        <v/>
      </c>
      <c r="AY6" s="6" t="str">
        <f t="shared" si="43"/>
        <v/>
      </c>
      <c r="BA6" s="9"/>
      <c r="BB6" s="9"/>
      <c r="BC6" s="9"/>
      <c r="BD6" s="9"/>
      <c r="BE6" s="9"/>
      <c r="BH6" s="5"/>
    </row>
    <row r="7" spans="2:60" x14ac:dyDescent="0.3">
      <c r="B7" s="26" t="str">
        <f>Sheet2!D10</f>
        <v>VA RE</v>
      </c>
      <c r="C7" s="38">
        <f>[1]Summary!C120</f>
        <v>0.08</v>
      </c>
      <c r="D7" s="38">
        <f>[1]Summary!D120</f>
        <v>0.18067591522234688</v>
      </c>
      <c r="E7" s="38">
        <v>1</v>
      </c>
      <c r="F7" s="39">
        <v>0</v>
      </c>
      <c r="G7"/>
      <c r="I7" s="36" t="str">
        <f t="shared" si="0"/>
        <v>VA RE</v>
      </c>
      <c r="J7" s="20">
        <f>Sheet2!E10</f>
        <v>0.51836772571099143</v>
      </c>
      <c r="K7" s="21">
        <f>Sheet2!F10</f>
        <v>0.37682862871236927</v>
      </c>
      <c r="L7" s="20">
        <f>Sheet2!G10</f>
        <v>0.46805982797571655</v>
      </c>
      <c r="M7" s="21">
        <f>Sheet2!H10</f>
        <v>0.4883041246607962</v>
      </c>
      <c r="N7" s="19">
        <f>IF(I7="","",1)</f>
        <v>1</v>
      </c>
      <c r="O7" s="44">
        <f t="shared" ref="O7:AC7" si="46">INDEX(Data_Array,MATCH(O$2,Rows,0),MATCH($I7,Columns,0))</f>
        <v>0.84394541509332632</v>
      </c>
      <c r="P7" s="44">
        <f t="shared" si="46"/>
        <v>0.20073438779831687</v>
      </c>
      <c r="Q7" s="44">
        <f t="shared" si="46"/>
        <v>0.42275612899960735</v>
      </c>
      <c r="R7" s="44">
        <f t="shared" si="46"/>
        <v>0.35702687937587291</v>
      </c>
      <c r="S7" s="44">
        <f t="shared" si="46"/>
        <v>0.37282844293471823</v>
      </c>
      <c r="T7" s="44">
        <f t="shared" si="46"/>
        <v>0.2586604978289101</v>
      </c>
      <c r="U7" s="44">
        <f t="shared" si="46"/>
        <v>0.28952321378749124</v>
      </c>
      <c r="V7" s="44">
        <f t="shared" si="46"/>
        <v>-8.8046221696621074E-2</v>
      </c>
      <c r="W7" s="44">
        <f t="shared" si="46"/>
        <v>0.57692513000126033</v>
      </c>
      <c r="X7" s="44">
        <f t="shared" si="46"/>
        <v>0</v>
      </c>
      <c r="Y7" s="44">
        <f t="shared" si="46"/>
        <v>0</v>
      </c>
      <c r="Z7" s="44">
        <f t="shared" si="46"/>
        <v>0</v>
      </c>
      <c r="AA7" s="44">
        <f t="shared" si="46"/>
        <v>0</v>
      </c>
      <c r="AB7" s="44">
        <f t="shared" si="46"/>
        <v>0</v>
      </c>
      <c r="AC7" s="45">
        <f t="shared" si="46"/>
        <v>0</v>
      </c>
      <c r="AE7" s="4" t="str">
        <f t="shared" si="2"/>
        <v>VA RE</v>
      </c>
      <c r="AF7" s="6">
        <f t="shared" si="24"/>
        <v>9.0899927838813607E-3</v>
      </c>
      <c r="AG7" s="6">
        <f t="shared" si="25"/>
        <v>6.7706302765738651E-3</v>
      </c>
      <c r="AH7" s="6">
        <f t="shared" si="26"/>
        <v>8.341834786215644E-3</v>
      </c>
      <c r="AI7" s="6">
        <f t="shared" si="27"/>
        <v>1.2147088660766366E-2</v>
      </c>
      <c r="AJ7" s="6">
        <f t="shared" si="28"/>
        <v>3.2643786341432675E-2</v>
      </c>
      <c r="AK7" s="6">
        <f t="shared" si="29"/>
        <v>3.2230241183332703E-2</v>
      </c>
      <c r="AL7" s="6">
        <f t="shared" si="30"/>
        <v>5.5267387247176104E-3</v>
      </c>
      <c r="AM7" s="6">
        <f t="shared" si="31"/>
        <v>7.1589619584383453E-3</v>
      </c>
      <c r="AN7" s="6">
        <f t="shared" si="32"/>
        <v>5.2872639024966429E-3</v>
      </c>
      <c r="AO7" s="6">
        <f t="shared" si="33"/>
        <v>1.0106669210360382E-2</v>
      </c>
      <c r="AP7" s="6">
        <f t="shared" si="34"/>
        <v>9.2426628235526623E-3</v>
      </c>
      <c r="AQ7" s="6">
        <f t="shared" si="35"/>
        <v>8.7437243797021287E-3</v>
      </c>
      <c r="AR7" s="6">
        <f t="shared" si="36"/>
        <v>-6.7480147970159859E-4</v>
      </c>
      <c r="AS7" s="6">
        <f t="shared" si="37"/>
        <v>1.3999403278805738E-2</v>
      </c>
      <c r="AT7" s="6" t="str">
        <f t="shared" si="38"/>
        <v/>
      </c>
      <c r="AU7" s="6" t="str">
        <f t="shared" si="39"/>
        <v/>
      </c>
      <c r="AV7" s="6" t="str">
        <f t="shared" si="40"/>
        <v/>
      </c>
      <c r="AW7" s="6" t="str">
        <f t="shared" si="41"/>
        <v/>
      </c>
      <c r="AX7" s="6" t="str">
        <f t="shared" si="42"/>
        <v/>
      </c>
      <c r="AY7" s="6" t="str">
        <f t="shared" si="43"/>
        <v/>
      </c>
      <c r="BA7" s="9"/>
      <c r="BB7" s="9"/>
      <c r="BC7" s="9"/>
      <c r="BD7" s="9"/>
      <c r="BE7" s="9"/>
      <c r="BH7" s="5"/>
    </row>
    <row r="8" spans="2:60" x14ac:dyDescent="0.3">
      <c r="B8" s="27" t="str">
        <f>Sheet2!D11</f>
        <v>Opp RE</v>
      </c>
      <c r="C8" s="40">
        <f>[1]Summary!C121</f>
        <v>0.09</v>
      </c>
      <c r="D8" s="40">
        <f>[1]Summary!D121</f>
        <v>0.21137271897277665</v>
      </c>
      <c r="E8" s="40">
        <v>1</v>
      </c>
      <c r="F8" s="41">
        <v>0</v>
      </c>
      <c r="G8"/>
      <c r="I8" s="35" t="str">
        <f t="shared" si="0"/>
        <v>Opp RE</v>
      </c>
      <c r="J8" s="18">
        <f>Sheet2!E11</f>
        <v>0.41875866564426117</v>
      </c>
      <c r="K8" s="29">
        <f>Sheet2!F11</f>
        <v>0.37955017662329277</v>
      </c>
      <c r="L8" s="18">
        <f>Sheet2!G11</f>
        <v>0.38184889373776087</v>
      </c>
      <c r="M8" s="29">
        <f>Sheet2!H11</f>
        <v>0.39840341819042091</v>
      </c>
      <c r="N8" s="29">
        <f>Sheet2!I11</f>
        <v>0.84394541509332632</v>
      </c>
      <c r="O8" s="19">
        <f>IF(I8="","",1)</f>
        <v>1</v>
      </c>
      <c r="P8" s="44">
        <f t="shared" ref="P8:AC8" si="47">INDEX(Data_Array,MATCH(P$2,Rows,0),MATCH($I8,Columns,0))</f>
        <v>0.31858695258014058</v>
      </c>
      <c r="Q8" s="44">
        <f t="shared" si="47"/>
        <v>0.40042547196002543</v>
      </c>
      <c r="R8" s="44">
        <f t="shared" si="47"/>
        <v>0.43917136872550955</v>
      </c>
      <c r="S8" s="44">
        <f t="shared" si="47"/>
        <v>0.46734464897652234</v>
      </c>
      <c r="T8" s="44">
        <f t="shared" si="47"/>
        <v>0.42001737402938472</v>
      </c>
      <c r="U8" s="44">
        <f t="shared" si="47"/>
        <v>0.38389981524705774</v>
      </c>
      <c r="V8" s="44">
        <f t="shared" si="47"/>
        <v>-7.5453812172120854E-2</v>
      </c>
      <c r="W8" s="44">
        <f t="shared" si="47"/>
        <v>0.55411219174796555</v>
      </c>
      <c r="X8" s="44">
        <f t="shared" si="47"/>
        <v>0</v>
      </c>
      <c r="Y8" s="44">
        <f t="shared" si="47"/>
        <v>0</v>
      </c>
      <c r="Z8" s="44">
        <f t="shared" si="47"/>
        <v>0</v>
      </c>
      <c r="AA8" s="44">
        <f t="shared" si="47"/>
        <v>0</v>
      </c>
      <c r="AB8" s="44">
        <f t="shared" si="47"/>
        <v>0</v>
      </c>
      <c r="AC8" s="45">
        <f t="shared" si="47"/>
        <v>0</v>
      </c>
      <c r="AE8" s="4" t="str">
        <f t="shared" si="2"/>
        <v>Opp RE</v>
      </c>
      <c r="AF8" s="6">
        <f t="shared" si="24"/>
        <v>8.5908881041453986E-3</v>
      </c>
      <c r="AG8" s="6">
        <f t="shared" si="25"/>
        <v>7.9781661681721881E-3</v>
      </c>
      <c r="AH8" s="6">
        <f t="shared" si="26"/>
        <v>7.9616012564221999E-3</v>
      </c>
      <c r="AI8" s="6">
        <f t="shared" si="27"/>
        <v>1.1594540319303778E-2</v>
      </c>
      <c r="AJ8" s="6">
        <f t="shared" si="28"/>
        <v>3.2230241183332703E-2</v>
      </c>
      <c r="AK8" s="6">
        <f t="shared" si="29"/>
        <v>4.4678426325944418E-2</v>
      </c>
      <c r="AL8" s="6">
        <f t="shared" si="30"/>
        <v>1.0261806292126491E-2</v>
      </c>
      <c r="AM8" s="6">
        <f t="shared" si="31"/>
        <v>7.9328731319106786E-3</v>
      </c>
      <c r="AN8" s="6">
        <f t="shared" si="32"/>
        <v>7.6087403425632964E-3</v>
      </c>
      <c r="AO8" s="6">
        <f t="shared" si="33"/>
        <v>1.482125432156044E-2</v>
      </c>
      <c r="AP8" s="6">
        <f t="shared" si="34"/>
        <v>1.7558318673251808E-2</v>
      </c>
      <c r="AQ8" s="6">
        <f t="shared" si="35"/>
        <v>1.3563745802890749E-2</v>
      </c>
      <c r="AR8" s="6">
        <f t="shared" si="36"/>
        <v>-6.7654261781233843E-4</v>
      </c>
      <c r="AS8" s="6">
        <f t="shared" si="37"/>
        <v>1.5730279673215719E-2</v>
      </c>
      <c r="AT8" s="6" t="str">
        <f t="shared" si="38"/>
        <v/>
      </c>
      <c r="AU8" s="6" t="str">
        <f t="shared" si="39"/>
        <v/>
      </c>
      <c r="AV8" s="6" t="str">
        <f t="shared" si="40"/>
        <v/>
      </c>
      <c r="AW8" s="6" t="str">
        <f t="shared" si="41"/>
        <v/>
      </c>
      <c r="AX8" s="6" t="str">
        <f t="shared" si="42"/>
        <v/>
      </c>
      <c r="AY8" s="6" t="str">
        <f t="shared" si="43"/>
        <v/>
      </c>
      <c r="BA8" s="9"/>
      <c r="BB8" s="9"/>
      <c r="BC8" s="9"/>
      <c r="BD8" s="9"/>
      <c r="BE8" s="12">
        <f>Target_Max-Target_Min</f>
        <v>4.0000002384185787E-2</v>
      </c>
      <c r="BF8" s="5"/>
    </row>
    <row r="9" spans="2:60" x14ac:dyDescent="0.3">
      <c r="B9" s="26" t="str">
        <f>Sheet2!D12</f>
        <v>Infra</v>
      </c>
      <c r="C9" s="38">
        <f>[1]Summary!C122</f>
        <v>7.4999999999999997E-2</v>
      </c>
      <c r="D9" s="38">
        <f>[1]Summary!D122</f>
        <v>0.15238663979278766</v>
      </c>
      <c r="E9" s="38">
        <v>1</v>
      </c>
      <c r="F9" s="39">
        <v>0</v>
      </c>
      <c r="G9"/>
      <c r="I9" s="36" t="str">
        <f t="shared" si="0"/>
        <v>Infra</v>
      </c>
      <c r="J9" s="20">
        <f>Sheet2!E12</f>
        <v>0.13025924197713964</v>
      </c>
      <c r="K9" s="21">
        <f>Sheet2!F12</f>
        <v>0.18356389969874159</v>
      </c>
      <c r="L9" s="20">
        <f>Sheet2!G12</f>
        <v>0.26790911171847664</v>
      </c>
      <c r="M9" s="21">
        <f>Sheet2!H12</f>
        <v>0.12422167279259516</v>
      </c>
      <c r="N9" s="21">
        <f>Sheet2!I12</f>
        <v>0.20073438779831687</v>
      </c>
      <c r="O9" s="21">
        <f>Sheet2!J12</f>
        <v>0.31858695258014058</v>
      </c>
      <c r="P9" s="19">
        <f>IF(I9="","",1)</f>
        <v>1</v>
      </c>
      <c r="Q9" s="44">
        <f t="shared" ref="Q9:AC9" si="48">INDEX(Data_Array,MATCH(Q$2,Rows,0),MATCH($I9,Columns,0))</f>
        <v>0.14894814187409311</v>
      </c>
      <c r="R9" s="44">
        <f t="shared" si="48"/>
        <v>0.24409243918404858</v>
      </c>
      <c r="S9" s="44">
        <f t="shared" si="48"/>
        <v>0.15569000593935048</v>
      </c>
      <c r="T9" s="44">
        <f t="shared" si="48"/>
        <v>0.46296971315675922</v>
      </c>
      <c r="U9" s="44">
        <f t="shared" si="48"/>
        <v>0.3</v>
      </c>
      <c r="V9" s="44">
        <f t="shared" si="48"/>
        <v>-5.0148496819962272E-2</v>
      </c>
      <c r="W9" s="44">
        <f t="shared" si="48"/>
        <v>0.38739248896585171</v>
      </c>
      <c r="X9" s="44">
        <f t="shared" si="48"/>
        <v>0</v>
      </c>
      <c r="Y9" s="44">
        <f t="shared" si="48"/>
        <v>0</v>
      </c>
      <c r="Z9" s="44">
        <f t="shared" si="48"/>
        <v>0</v>
      </c>
      <c r="AA9" s="44">
        <f t="shared" si="48"/>
        <v>0</v>
      </c>
      <c r="AB9" s="44">
        <f t="shared" si="48"/>
        <v>0</v>
      </c>
      <c r="AC9" s="45">
        <f t="shared" si="48"/>
        <v>0</v>
      </c>
      <c r="AE9" s="4" t="str">
        <f t="shared" si="2"/>
        <v>Infra</v>
      </c>
      <c r="AF9" s="6">
        <f t="shared" si="24"/>
        <v>1.9265521100802476E-3</v>
      </c>
      <c r="AG9" s="6">
        <f t="shared" si="25"/>
        <v>2.7817565149799153E-3</v>
      </c>
      <c r="AH9" s="6">
        <f t="shared" si="26"/>
        <v>4.0271177602309209E-3</v>
      </c>
      <c r="AI9" s="6">
        <f t="shared" si="27"/>
        <v>2.606308445261162E-3</v>
      </c>
      <c r="AJ9" s="6">
        <f t="shared" si="28"/>
        <v>5.5267387247176104E-3</v>
      </c>
      <c r="AK9" s="6">
        <f t="shared" si="29"/>
        <v>1.026180629212649E-2</v>
      </c>
      <c r="AL9" s="6">
        <f t="shared" si="30"/>
        <v>2.3221687987336814E-2</v>
      </c>
      <c r="AM9" s="6">
        <f t="shared" si="31"/>
        <v>2.1273642720699482E-3</v>
      </c>
      <c r="AN9" s="6">
        <f t="shared" si="32"/>
        <v>3.048814705663881E-3</v>
      </c>
      <c r="AO9" s="6">
        <f t="shared" si="33"/>
        <v>3.5596424648312985E-3</v>
      </c>
      <c r="AP9" s="6">
        <f t="shared" si="34"/>
        <v>1.3952955571485093E-2</v>
      </c>
      <c r="AQ9" s="6">
        <f t="shared" si="35"/>
        <v>7.6415410858362738E-3</v>
      </c>
      <c r="AR9" s="6">
        <f t="shared" si="36"/>
        <v>-3.2416778344424068E-4</v>
      </c>
      <c r="AS9" s="6">
        <f t="shared" si="37"/>
        <v>7.9284427258191729E-3</v>
      </c>
      <c r="AT9" s="6" t="str">
        <f t="shared" si="38"/>
        <v/>
      </c>
      <c r="AU9" s="6" t="str">
        <f t="shared" si="39"/>
        <v/>
      </c>
      <c r="AV9" s="6" t="str">
        <f t="shared" si="40"/>
        <v/>
      </c>
      <c r="AW9" s="6" t="str">
        <f t="shared" si="41"/>
        <v/>
      </c>
      <c r="AX9" s="6" t="str">
        <f t="shared" si="42"/>
        <v/>
      </c>
      <c r="AY9" s="6" t="str">
        <f t="shared" si="43"/>
        <v/>
      </c>
      <c r="BA9" s="9"/>
      <c r="BB9" s="9"/>
      <c r="BC9" s="9"/>
      <c r="BD9" s="9"/>
      <c r="BE9" s="12">
        <f>BE8/10</f>
        <v>4.0000002384185784E-3</v>
      </c>
      <c r="BF9" s="5"/>
    </row>
    <row r="10" spans="2:60" x14ac:dyDescent="0.3">
      <c r="B10" s="27" t="str">
        <f>Sheet2!D13</f>
        <v>Timberland</v>
      </c>
      <c r="C10" s="40">
        <f>[1]Summary!C123</f>
        <v>0.05</v>
      </c>
      <c r="D10" s="40">
        <f>[1]Summary!D123</f>
        <v>9.3725955962479776E-2</v>
      </c>
      <c r="E10" s="40">
        <v>1</v>
      </c>
      <c r="F10" s="41">
        <v>0</v>
      </c>
      <c r="G10"/>
      <c r="I10" s="35" t="str">
        <f t="shared" si="0"/>
        <v>Timberland</v>
      </c>
      <c r="J10" s="18">
        <f>Sheet2!E13</f>
        <v>1.6365488614244444E-2</v>
      </c>
      <c r="K10" s="29">
        <f>Sheet2!F13</f>
        <v>-0.15415489951473568</v>
      </c>
      <c r="L10" s="18">
        <f>Sheet2!G13</f>
        <v>0.25016377786354782</v>
      </c>
      <c r="M10" s="29">
        <f>Sheet2!H13</f>
        <v>1.2121524271471527E-2</v>
      </c>
      <c r="N10" s="29">
        <f>Sheet2!I13</f>
        <v>0.42275612899960735</v>
      </c>
      <c r="O10" s="29">
        <f>Sheet2!J13</f>
        <v>0.40042547196002543</v>
      </c>
      <c r="P10" s="29">
        <f>Sheet2!K13</f>
        <v>0.14894814187409311</v>
      </c>
      <c r="Q10" s="19">
        <f>IF(I10="","",1)</f>
        <v>1</v>
      </c>
      <c r="R10" s="44">
        <f t="shared" ref="R10:AC10" si="49">INDEX(Data_Array,MATCH(R$2,Rows,0),MATCH($I10,Columns,0))</f>
        <v>0.61532497761650118</v>
      </c>
      <c r="S10" s="44">
        <f t="shared" si="49"/>
        <v>0.70595949374693978</v>
      </c>
      <c r="T10" s="44">
        <f t="shared" si="49"/>
        <v>3.2225676469827956E-2</v>
      </c>
      <c r="U10" s="44">
        <f t="shared" si="49"/>
        <v>4.248622240084262E-2</v>
      </c>
      <c r="V10" s="44">
        <f t="shared" si="49"/>
        <v>5.9751972703035568E-2</v>
      </c>
      <c r="W10" s="44">
        <f t="shared" si="49"/>
        <v>0.14746771027644337</v>
      </c>
      <c r="X10" s="44">
        <f t="shared" si="49"/>
        <v>0</v>
      </c>
      <c r="Y10" s="44">
        <f t="shared" si="49"/>
        <v>0</v>
      </c>
      <c r="Z10" s="44">
        <f t="shared" si="49"/>
        <v>0</v>
      </c>
      <c r="AA10" s="44">
        <f t="shared" si="49"/>
        <v>0</v>
      </c>
      <c r="AB10" s="44">
        <f t="shared" si="49"/>
        <v>0</v>
      </c>
      <c r="AC10" s="45">
        <f t="shared" si="49"/>
        <v>0</v>
      </c>
      <c r="AE10" s="4" t="str">
        <f t="shared" si="2"/>
        <v>Timberland</v>
      </c>
      <c r="AF10" s="6">
        <f t="shared" si="24"/>
        <v>1.4887239535313389E-4</v>
      </c>
      <c r="AG10" s="6">
        <f t="shared" si="25"/>
        <v>-1.4368193129148076E-3</v>
      </c>
      <c r="AH10" s="6">
        <f t="shared" si="26"/>
        <v>2.3128329063324187E-3</v>
      </c>
      <c r="AI10" s="6">
        <f t="shared" si="27"/>
        <v>1.5642229714972982E-4</v>
      </c>
      <c r="AJ10" s="6">
        <f t="shared" si="28"/>
        <v>7.1589619584383453E-3</v>
      </c>
      <c r="AK10" s="6">
        <f t="shared" si="29"/>
        <v>7.9328731319106786E-3</v>
      </c>
      <c r="AL10" s="6">
        <f t="shared" si="30"/>
        <v>2.1273642720699482E-3</v>
      </c>
      <c r="AM10" s="6">
        <f t="shared" si="31"/>
        <v>8.7845548210806982E-3</v>
      </c>
      <c r="AN10" s="6">
        <f t="shared" si="32"/>
        <v>4.7270939494189843E-3</v>
      </c>
      <c r="AO10" s="6">
        <f t="shared" si="33"/>
        <v>9.9274661024690292E-3</v>
      </c>
      <c r="AP10" s="6">
        <f t="shared" si="34"/>
        <v>5.9734971253847663E-4</v>
      </c>
      <c r="AQ10" s="6">
        <f t="shared" si="35"/>
        <v>6.6561147720359574E-4</v>
      </c>
      <c r="AR10" s="6">
        <f t="shared" si="36"/>
        <v>2.3756210547890843E-4</v>
      </c>
      <c r="AS10" s="6">
        <f t="shared" si="37"/>
        <v>1.8562933985167866E-3</v>
      </c>
      <c r="AT10" s="6" t="str">
        <f t="shared" si="38"/>
        <v/>
      </c>
      <c r="AU10" s="6" t="str">
        <f t="shared" si="39"/>
        <v/>
      </c>
      <c r="AV10" s="6" t="str">
        <f t="shared" si="40"/>
        <v/>
      </c>
      <c r="AW10" s="6" t="str">
        <f t="shared" si="41"/>
        <v/>
      </c>
      <c r="AX10" s="6" t="str">
        <f t="shared" si="42"/>
        <v/>
      </c>
      <c r="AY10" s="6" t="str">
        <f t="shared" si="43"/>
        <v/>
      </c>
      <c r="BA10" s="9"/>
      <c r="BB10" s="9"/>
      <c r="BC10" s="9"/>
      <c r="BD10" s="9"/>
      <c r="BE10" s="9"/>
    </row>
    <row r="11" spans="2:60" x14ac:dyDescent="0.3">
      <c r="B11" s="26" t="str">
        <f>Sheet2!D14</f>
        <v>Row Crops</v>
      </c>
      <c r="C11" s="38">
        <f>[1]Summary!C124</f>
        <v>0.05</v>
      </c>
      <c r="D11" s="38">
        <f>[1]Summary!D124</f>
        <v>8.196525805963642E-2</v>
      </c>
      <c r="E11" s="38">
        <v>1</v>
      </c>
      <c r="F11" s="39">
        <v>0</v>
      </c>
      <c r="G11"/>
      <c r="I11" s="36" t="str">
        <f t="shared" si="0"/>
        <v>Row Crops</v>
      </c>
      <c r="J11" s="20">
        <f>Sheet2!E14</f>
        <v>6.1553659050129952E-4</v>
      </c>
      <c r="K11" s="21">
        <f>Sheet2!F14</f>
        <v>-5.4815845913370256E-2</v>
      </c>
      <c r="L11" s="20">
        <f>Sheet2!G14</f>
        <v>0.18059859113982518</v>
      </c>
      <c r="M11" s="21">
        <f>Sheet2!H14</f>
        <v>5.4220969959936178E-3</v>
      </c>
      <c r="N11" s="21">
        <f>Sheet2!I14</f>
        <v>0.35702687937587291</v>
      </c>
      <c r="O11" s="21">
        <f>Sheet2!J14</f>
        <v>0.43917136872550955</v>
      </c>
      <c r="P11" s="21">
        <f>Sheet2!K14</f>
        <v>0.24409243918404858</v>
      </c>
      <c r="Q11" s="21">
        <f>Sheet2!L14</f>
        <v>0.61532497761650118</v>
      </c>
      <c r="R11" s="19">
        <f>IF(I11="","",1)</f>
        <v>1</v>
      </c>
      <c r="S11" s="44">
        <f t="shared" ref="S11:AC11" si="50">INDEX(Data_Array,MATCH(S$2,Rows,0),MATCH($I11,Columns,0))</f>
        <v>0.74263339371277848</v>
      </c>
      <c r="T11" s="44">
        <f t="shared" si="50"/>
        <v>0.11963793088907784</v>
      </c>
      <c r="U11" s="44">
        <f t="shared" si="50"/>
        <v>0.17942412429111229</v>
      </c>
      <c r="V11" s="44">
        <f t="shared" si="50"/>
        <v>4.3670193978834412E-3</v>
      </c>
      <c r="W11" s="44">
        <f t="shared" si="50"/>
        <v>0.18792559195196989</v>
      </c>
      <c r="X11" s="44">
        <f t="shared" si="50"/>
        <v>0</v>
      </c>
      <c r="Y11" s="44">
        <f t="shared" si="50"/>
        <v>0</v>
      </c>
      <c r="Z11" s="44">
        <f t="shared" si="50"/>
        <v>0</v>
      </c>
      <c r="AA11" s="44">
        <f t="shared" si="50"/>
        <v>0</v>
      </c>
      <c r="AB11" s="44">
        <f t="shared" si="50"/>
        <v>0</v>
      </c>
      <c r="AC11" s="45">
        <f t="shared" si="50"/>
        <v>0</v>
      </c>
      <c r="AE11" s="4" t="str">
        <f t="shared" si="2"/>
        <v>Row Crops</v>
      </c>
      <c r="AF11" s="6">
        <f t="shared" si="24"/>
        <v>4.8967621136860124E-6</v>
      </c>
      <c r="AG11" s="6">
        <f t="shared" si="25"/>
        <v>-4.4680793443493836E-4</v>
      </c>
      <c r="AH11" s="6">
        <f t="shared" si="26"/>
        <v>1.4601723515087809E-3</v>
      </c>
      <c r="AI11" s="6">
        <f t="shared" si="27"/>
        <v>6.1189744286488317E-5</v>
      </c>
      <c r="AJ11" s="6">
        <f t="shared" si="28"/>
        <v>5.2872639024966429E-3</v>
      </c>
      <c r="AK11" s="6">
        <f t="shared" si="29"/>
        <v>7.6087403425632964E-3</v>
      </c>
      <c r="AL11" s="6">
        <f t="shared" si="30"/>
        <v>3.0488147056638814E-3</v>
      </c>
      <c r="AM11" s="6">
        <f t="shared" si="31"/>
        <v>4.7270939494189852E-3</v>
      </c>
      <c r="AN11" s="6">
        <f t="shared" si="32"/>
        <v>6.7183035287827928E-3</v>
      </c>
      <c r="AO11" s="6">
        <f t="shared" si="33"/>
        <v>9.1327808351462664E-3</v>
      </c>
      <c r="AP11" s="6">
        <f t="shared" si="34"/>
        <v>1.9393912934304793E-3</v>
      </c>
      <c r="AQ11" s="6">
        <f t="shared" si="35"/>
        <v>2.4582353003247347E-3</v>
      </c>
      <c r="AR11" s="6">
        <f t="shared" si="36"/>
        <v>1.5183782375968946E-5</v>
      </c>
      <c r="AS11" s="6">
        <f t="shared" si="37"/>
        <v>2.0687382380494288E-3</v>
      </c>
      <c r="AT11" s="6" t="str">
        <f t="shared" si="38"/>
        <v/>
      </c>
      <c r="AU11" s="6" t="str">
        <f t="shared" si="39"/>
        <v/>
      </c>
      <c r="AV11" s="6" t="str">
        <f t="shared" si="40"/>
        <v/>
      </c>
      <c r="AW11" s="6" t="str">
        <f t="shared" si="41"/>
        <v/>
      </c>
      <c r="AX11" s="6" t="str">
        <f t="shared" si="42"/>
        <v/>
      </c>
      <c r="AY11" s="6" t="str">
        <f t="shared" si="43"/>
        <v/>
      </c>
      <c r="BF11" s="5"/>
    </row>
    <row r="12" spans="2:60" x14ac:dyDescent="0.3">
      <c r="B12" s="27" t="str">
        <f>Sheet2!D15</f>
        <v>Perm Crops</v>
      </c>
      <c r="C12" s="40">
        <f>[1]Summary!C125</f>
        <v>6.25E-2</v>
      </c>
      <c r="D12" s="40">
        <f>[1]Summary!D125</f>
        <v>0.15003713103540986</v>
      </c>
      <c r="E12" s="40">
        <v>1</v>
      </c>
      <c r="F12" s="41">
        <v>0</v>
      </c>
      <c r="G12"/>
      <c r="I12" s="35" t="str">
        <f t="shared" si="0"/>
        <v>Perm Crops</v>
      </c>
      <c r="J12" s="18">
        <f>Sheet2!E15</f>
        <v>5.8186174890781081E-2</v>
      </c>
      <c r="K12" s="29">
        <f>Sheet2!F15</f>
        <v>1.3253332647786333E-2</v>
      </c>
      <c r="L12" s="18">
        <f>Sheet2!G15</f>
        <v>0.2048482670862555</v>
      </c>
      <c r="M12" s="29">
        <f>Sheet2!H15</f>
        <v>5.6054916137994237E-2</v>
      </c>
      <c r="N12" s="29">
        <f>Sheet2!I15</f>
        <v>0.37282844293471823</v>
      </c>
      <c r="O12" s="29">
        <f>Sheet2!J15</f>
        <v>0.46734464897652234</v>
      </c>
      <c r="P12" s="29">
        <f>Sheet2!K15</f>
        <v>0.15569000593935048</v>
      </c>
      <c r="Q12" s="29">
        <f>Sheet2!L15</f>
        <v>0.70595949374693978</v>
      </c>
      <c r="R12" s="29">
        <f>Sheet2!M15</f>
        <v>0.74263339371277848</v>
      </c>
      <c r="S12" s="22">
        <f>IF(I12="","",1)</f>
        <v>1</v>
      </c>
      <c r="T12" s="44">
        <f t="shared" ref="T12:AC12" si="51">INDEX(Data_Array,MATCH(T$2,Rows,0),MATCH($I12,Columns,0))</f>
        <v>9.4114910889106757E-2</v>
      </c>
      <c r="U12" s="44">
        <f t="shared" si="51"/>
        <v>9.3232556763081217E-2</v>
      </c>
      <c r="V12" s="44">
        <f t="shared" si="51"/>
        <v>-4.3230774845831764E-3</v>
      </c>
      <c r="W12" s="44">
        <f t="shared" si="51"/>
        <v>0.1137341518204424</v>
      </c>
      <c r="X12" s="44">
        <f t="shared" si="51"/>
        <v>0</v>
      </c>
      <c r="Y12" s="44">
        <f t="shared" si="51"/>
        <v>0</v>
      </c>
      <c r="Z12" s="44">
        <f t="shared" si="51"/>
        <v>0</v>
      </c>
      <c r="AA12" s="44">
        <f t="shared" si="51"/>
        <v>0</v>
      </c>
      <c r="AB12" s="44">
        <f t="shared" si="51"/>
        <v>0</v>
      </c>
      <c r="AC12" s="45">
        <f t="shared" si="51"/>
        <v>0</v>
      </c>
      <c r="AE12" s="4" t="str">
        <f t="shared" si="2"/>
        <v>Perm Crops</v>
      </c>
      <c r="AF12" s="6">
        <f t="shared" si="24"/>
        <v>8.473130207064958E-4</v>
      </c>
      <c r="AG12" s="6">
        <f t="shared" si="25"/>
        <v>1.9774649538638713E-4</v>
      </c>
      <c r="AH12" s="6">
        <f t="shared" si="26"/>
        <v>3.0317333259205076E-3</v>
      </c>
      <c r="AI12" s="6">
        <f t="shared" si="27"/>
        <v>1.1579611891464766E-3</v>
      </c>
      <c r="AJ12" s="6">
        <f t="shared" si="28"/>
        <v>1.0106669210360381E-2</v>
      </c>
      <c r="AK12" s="6">
        <f t="shared" si="29"/>
        <v>1.4821254321560442E-2</v>
      </c>
      <c r="AL12" s="6">
        <f t="shared" si="30"/>
        <v>3.5596424648312989E-3</v>
      </c>
      <c r="AM12" s="6">
        <f t="shared" si="31"/>
        <v>9.9274661024690292E-3</v>
      </c>
      <c r="AN12" s="6">
        <f t="shared" si="32"/>
        <v>9.1327808351462647E-3</v>
      </c>
      <c r="AO12" s="6">
        <f t="shared" si="33"/>
        <v>2.251114068933675E-2</v>
      </c>
      <c r="AP12" s="6">
        <f t="shared" si="34"/>
        <v>2.7926976792121382E-3</v>
      </c>
      <c r="AQ12" s="6">
        <f t="shared" si="35"/>
        <v>2.3381865092624824E-3</v>
      </c>
      <c r="AR12" s="6">
        <f t="shared" si="36"/>
        <v>-2.7514194926046876E-5</v>
      </c>
      <c r="AS12" s="6">
        <f t="shared" si="37"/>
        <v>2.2918144257077166E-3</v>
      </c>
      <c r="AT12" s="6" t="str">
        <f t="shared" si="38"/>
        <v/>
      </c>
      <c r="AU12" s="6" t="str">
        <f t="shared" si="39"/>
        <v/>
      </c>
      <c r="AV12" s="6" t="str">
        <f t="shared" si="40"/>
        <v/>
      </c>
      <c r="AW12" s="6" t="str">
        <f t="shared" si="41"/>
        <v/>
      </c>
      <c r="AX12" s="6" t="str">
        <f t="shared" si="42"/>
        <v/>
      </c>
      <c r="AY12" s="6" t="str">
        <f t="shared" si="43"/>
        <v/>
      </c>
      <c r="BF12" s="5"/>
    </row>
    <row r="13" spans="2:60" x14ac:dyDescent="0.3">
      <c r="B13" s="26" t="str">
        <f>Sheet2!D16</f>
        <v>REITs</v>
      </c>
      <c r="C13" s="38">
        <f>[1]Summary!C126</f>
        <v>7.0000000000000007E-2</v>
      </c>
      <c r="D13" s="38">
        <f>[1]Summary!D126</f>
        <v>0.19777287990299294</v>
      </c>
      <c r="E13" s="38">
        <v>1</v>
      </c>
      <c r="F13" s="39">
        <v>0</v>
      </c>
      <c r="G13"/>
      <c r="I13" s="36" t="str">
        <f t="shared" si="0"/>
        <v>REITs</v>
      </c>
      <c r="J13" s="20">
        <f>Sheet2!E16</f>
        <v>0.29371264715951972</v>
      </c>
      <c r="K13" s="21">
        <f>Sheet2!F16</f>
        <v>0.22517547193739271</v>
      </c>
      <c r="L13" s="20">
        <f>Sheet2!G16</f>
        <v>0.20306003741201065</v>
      </c>
      <c r="M13" s="21">
        <f>Sheet2!H16</f>
        <v>0.30804285114347946</v>
      </c>
      <c r="N13" s="21">
        <f>Sheet2!I16</f>
        <v>0.2586604978289101</v>
      </c>
      <c r="O13" s="21">
        <f>Sheet2!J16</f>
        <v>0.42001737402938472</v>
      </c>
      <c r="P13" s="21">
        <f>Sheet2!K16</f>
        <v>0.46296971315675922</v>
      </c>
      <c r="Q13" s="21">
        <f>Sheet2!L16</f>
        <v>3.2225676469827956E-2</v>
      </c>
      <c r="R13" s="21">
        <f>Sheet2!M16</f>
        <v>0.11963793088907784</v>
      </c>
      <c r="S13" s="21">
        <f>Sheet2!N16</f>
        <v>9.4114910889106757E-2</v>
      </c>
      <c r="T13" s="22">
        <f>IF(I13="","",1)</f>
        <v>1</v>
      </c>
      <c r="U13" s="44">
        <f t="shared" ref="U13:AC13" si="52">INDEX(Data_Array,MATCH(U$2,Rows,0),MATCH($I13,Columns,0))</f>
        <v>0.75633537472470813</v>
      </c>
      <c r="V13" s="44">
        <f t="shared" si="52"/>
        <v>0.15572715770911591</v>
      </c>
      <c r="W13" s="44">
        <f t="shared" si="52"/>
        <v>0.38097487039122058</v>
      </c>
      <c r="X13" s="44">
        <f t="shared" si="52"/>
        <v>0</v>
      </c>
      <c r="Y13" s="44">
        <f t="shared" si="52"/>
        <v>0</v>
      </c>
      <c r="Z13" s="44">
        <f t="shared" si="52"/>
        <v>0</v>
      </c>
      <c r="AA13" s="44">
        <f t="shared" si="52"/>
        <v>0</v>
      </c>
      <c r="AB13" s="44">
        <f t="shared" si="52"/>
        <v>0</v>
      </c>
      <c r="AC13" s="45">
        <f t="shared" si="52"/>
        <v>0</v>
      </c>
      <c r="AE13" s="4" t="str">
        <f t="shared" si="2"/>
        <v>REITs</v>
      </c>
      <c r="AF13" s="6">
        <f t="shared" si="24"/>
        <v>5.6378654405464168E-3</v>
      </c>
      <c r="AG13" s="6">
        <f t="shared" si="25"/>
        <v>4.4286643373646203E-3</v>
      </c>
      <c r="AH13" s="6">
        <f t="shared" si="26"/>
        <v>3.9614223881998568E-3</v>
      </c>
      <c r="AI13" s="6">
        <f t="shared" si="27"/>
        <v>8.3880192285727129E-3</v>
      </c>
      <c r="AJ13" s="6">
        <f t="shared" si="28"/>
        <v>9.2426628235526623E-3</v>
      </c>
      <c r="AK13" s="6">
        <f t="shared" si="29"/>
        <v>1.7558318673251808E-2</v>
      </c>
      <c r="AL13" s="6">
        <f t="shared" si="30"/>
        <v>1.3952955571485093E-2</v>
      </c>
      <c r="AM13" s="6">
        <f t="shared" si="31"/>
        <v>5.9734971253847674E-4</v>
      </c>
      <c r="AN13" s="6">
        <f t="shared" si="32"/>
        <v>1.9393912934304795E-3</v>
      </c>
      <c r="AO13" s="6">
        <f t="shared" si="33"/>
        <v>2.7926976792121382E-3</v>
      </c>
      <c r="AP13" s="6">
        <f t="shared" si="34"/>
        <v>3.9114112025123667E-2</v>
      </c>
      <c r="AQ13" s="6">
        <f t="shared" si="35"/>
        <v>2.5003105652622579E-2</v>
      </c>
      <c r="AR13" s="6">
        <f t="shared" si="36"/>
        <v>1.3064600487413284E-3</v>
      </c>
      <c r="AS13" s="6">
        <f t="shared" si="37"/>
        <v>1.0119355938476191E-2</v>
      </c>
      <c r="AT13" s="6" t="str">
        <f t="shared" si="38"/>
        <v/>
      </c>
      <c r="AU13" s="6" t="str">
        <f t="shared" si="39"/>
        <v/>
      </c>
      <c r="AV13" s="6" t="str">
        <f t="shared" si="40"/>
        <v/>
      </c>
      <c r="AW13" s="6" t="str">
        <f t="shared" si="41"/>
        <v/>
      </c>
      <c r="AX13" s="6" t="str">
        <f t="shared" si="42"/>
        <v/>
      </c>
      <c r="AY13" s="6" t="str">
        <f t="shared" si="43"/>
        <v/>
      </c>
      <c r="BF13" s="5"/>
    </row>
    <row r="14" spans="2:60" x14ac:dyDescent="0.3">
      <c r="B14" s="27" t="str">
        <f>Sheet2!D17</f>
        <v>US Public Eq</v>
      </c>
      <c r="C14" s="40">
        <f>[1]Summary!C127</f>
        <v>6.5000000000000002E-2</v>
      </c>
      <c r="D14" s="40">
        <f>[1]Summary!D127</f>
        <v>0.16715247251393101</v>
      </c>
      <c r="E14" s="40">
        <v>0</v>
      </c>
      <c r="F14" s="41">
        <v>0</v>
      </c>
      <c r="G14"/>
      <c r="I14" s="35" t="str">
        <f t="shared" si="0"/>
        <v>US Public Eq</v>
      </c>
      <c r="J14" s="18">
        <f>Sheet2!E17</f>
        <v>0.19931434340850121</v>
      </c>
      <c r="K14" s="29">
        <f>Sheet2!F17</f>
        <v>0.16107417367360444</v>
      </c>
      <c r="L14" s="18">
        <f>Sheet2!G17</f>
        <v>0.13970330325384697</v>
      </c>
      <c r="M14" s="29">
        <f>Sheet2!H17</f>
        <v>0.23730650641618509</v>
      </c>
      <c r="N14" s="29">
        <f>Sheet2!I17</f>
        <v>0.28952321378749124</v>
      </c>
      <c r="O14" s="29">
        <f>Sheet2!J17</f>
        <v>0.38389981524705774</v>
      </c>
      <c r="P14" s="29">
        <f>Sheet2!K17</f>
        <v>0.3</v>
      </c>
      <c r="Q14" s="29">
        <f>Sheet2!L17</f>
        <v>4.248622240084262E-2</v>
      </c>
      <c r="R14" s="29">
        <f>Sheet2!M17</f>
        <v>0.17942412429111229</v>
      </c>
      <c r="S14" s="29">
        <f>Sheet2!N17</f>
        <v>9.3232556763081217E-2</v>
      </c>
      <c r="T14" s="29">
        <f>Sheet2!O17</f>
        <v>0.75633537472470813</v>
      </c>
      <c r="U14" s="22">
        <f>IF($I14="","",1)</f>
        <v>1</v>
      </c>
      <c r="V14" s="44">
        <f t="shared" ref="V14:AC14" si="53">INDEX(Data_Array,MATCH(V$2,Rows,0),MATCH($I14,Columns,0))</f>
        <v>-0.10413425732896892</v>
      </c>
      <c r="W14" s="44">
        <f t="shared" si="53"/>
        <v>0.39409739690269135</v>
      </c>
      <c r="X14" s="44">
        <f t="shared" si="53"/>
        <v>0</v>
      </c>
      <c r="Y14" s="44">
        <f t="shared" si="53"/>
        <v>0</v>
      </c>
      <c r="Z14" s="44">
        <f t="shared" si="53"/>
        <v>0</v>
      </c>
      <c r="AA14" s="44">
        <f t="shared" si="53"/>
        <v>0</v>
      </c>
      <c r="AB14" s="44">
        <f t="shared" si="53"/>
        <v>0</v>
      </c>
      <c r="AC14" s="45">
        <f t="shared" si="53"/>
        <v>0</v>
      </c>
      <c r="AE14" s="4" t="str">
        <f t="shared" si="2"/>
        <v>US Public Eq</v>
      </c>
      <c r="AF14" s="6">
        <f t="shared" si="24"/>
        <v>3.2335283986974039E-3</v>
      </c>
      <c r="AG14" s="6">
        <f t="shared" si="25"/>
        <v>2.6774641391767409E-3</v>
      </c>
      <c r="AH14" s="6">
        <f t="shared" si="26"/>
        <v>2.3034534084109964E-3</v>
      </c>
      <c r="AI14" s="6">
        <f t="shared" si="27"/>
        <v>5.4614001273775633E-3</v>
      </c>
      <c r="AJ14" s="6">
        <f t="shared" si="28"/>
        <v>8.7437243797021287E-3</v>
      </c>
      <c r="AK14" s="6">
        <f t="shared" si="29"/>
        <v>1.3563745802890747E-2</v>
      </c>
      <c r="AL14" s="6">
        <f t="shared" si="30"/>
        <v>7.6415410858362738E-3</v>
      </c>
      <c r="AM14" s="6">
        <f t="shared" si="31"/>
        <v>6.6561147720359574E-4</v>
      </c>
      <c r="AN14" s="6">
        <f t="shared" si="32"/>
        <v>2.4582353003247347E-3</v>
      </c>
      <c r="AO14" s="6">
        <f t="shared" si="33"/>
        <v>2.3381865092624828E-3</v>
      </c>
      <c r="AP14" s="6">
        <f t="shared" si="34"/>
        <v>2.5003105652622575E-2</v>
      </c>
      <c r="AQ14" s="6">
        <f t="shared" si="35"/>
        <v>2.793994906752046E-2</v>
      </c>
      <c r="AR14" s="6">
        <f t="shared" si="36"/>
        <v>-7.3836562223544345E-4</v>
      </c>
      <c r="AS14" s="6">
        <f t="shared" si="37"/>
        <v>8.8472067370010798E-3</v>
      </c>
      <c r="AT14" s="6" t="str">
        <f t="shared" si="38"/>
        <v/>
      </c>
      <c r="AU14" s="6" t="str">
        <f t="shared" si="39"/>
        <v/>
      </c>
      <c r="AV14" s="6" t="str">
        <f t="shared" si="40"/>
        <v/>
      </c>
      <c r="AW14" s="6" t="str">
        <f t="shared" si="41"/>
        <v/>
      </c>
      <c r="AX14" s="6" t="str">
        <f t="shared" si="42"/>
        <v/>
      </c>
      <c r="AY14" s="6" t="str">
        <f t="shared" si="43"/>
        <v/>
      </c>
    </row>
    <row r="15" spans="2:60" x14ac:dyDescent="0.3">
      <c r="B15" s="26" t="str">
        <f>Sheet2!D18</f>
        <v>Fixed Income</v>
      </c>
      <c r="C15" s="38">
        <f>[1]Summary!C128</f>
        <v>4.7500000000000001E-2</v>
      </c>
      <c r="D15" s="38">
        <f>[1]Summary!D128</f>
        <v>4.2419450556357756E-2</v>
      </c>
      <c r="E15" s="38">
        <v>0</v>
      </c>
      <c r="F15" s="39">
        <v>0</v>
      </c>
      <c r="G15"/>
      <c r="I15" s="36" t="str">
        <f t="shared" si="0"/>
        <v>Fixed Income</v>
      </c>
      <c r="J15" s="20">
        <f>Sheet2!E18</f>
        <v>-0.19210083734202649</v>
      </c>
      <c r="K15" s="21">
        <f>Sheet2!F18</f>
        <v>-4.8481125684787768E-2</v>
      </c>
      <c r="L15" s="20">
        <f>Sheet2!G18</f>
        <v>-3.5330358448002869E-3</v>
      </c>
      <c r="M15" s="21">
        <f>Sheet2!H18</f>
        <v>-0.2001985365624051</v>
      </c>
      <c r="N15" s="21">
        <f>Sheet2!I18</f>
        <v>-8.8046221696621074E-2</v>
      </c>
      <c r="O15" s="21">
        <f>Sheet2!J18</f>
        <v>-7.5453812172120854E-2</v>
      </c>
      <c r="P15" s="21">
        <f>Sheet2!K18</f>
        <v>-5.0148496819962272E-2</v>
      </c>
      <c r="Q15" s="21">
        <f>Sheet2!L18</f>
        <v>5.9751972703035568E-2</v>
      </c>
      <c r="R15" s="21">
        <f>Sheet2!M18</f>
        <v>4.3670193978834412E-3</v>
      </c>
      <c r="S15" s="21">
        <f>Sheet2!N18</f>
        <v>-4.3230774845831764E-3</v>
      </c>
      <c r="T15" s="21">
        <f>Sheet2!O18</f>
        <v>0.15572715770911591</v>
      </c>
      <c r="U15" s="21">
        <f>Sheet2!P18</f>
        <v>-0.10413425732896892</v>
      </c>
      <c r="V15" s="22">
        <f>IF($I15="","",1)</f>
        <v>1</v>
      </c>
      <c r="W15" s="44">
        <f t="shared" ref="W15:AC15" si="54">INDEX(Data_Array,MATCH(W$2,Rows,0),MATCH($I15,Columns,0))</f>
        <v>-2.2914060634543525E-2</v>
      </c>
      <c r="X15" s="44">
        <f t="shared" si="54"/>
        <v>0</v>
      </c>
      <c r="Y15" s="44">
        <f t="shared" si="54"/>
        <v>0</v>
      </c>
      <c r="Z15" s="44">
        <f t="shared" si="54"/>
        <v>0</v>
      </c>
      <c r="AA15" s="44">
        <f t="shared" si="54"/>
        <v>0</v>
      </c>
      <c r="AB15" s="44">
        <f t="shared" si="54"/>
        <v>0</v>
      </c>
      <c r="AC15" s="45">
        <f t="shared" si="54"/>
        <v>0</v>
      </c>
      <c r="AE15" s="4" t="str">
        <f t="shared" si="2"/>
        <v>Fixed Income</v>
      </c>
      <c r="AF15" s="6">
        <f t="shared" si="24"/>
        <v>-7.908964351871807E-4</v>
      </c>
      <c r="AG15" s="6">
        <f t="shared" si="25"/>
        <v>-2.045138289860169E-4</v>
      </c>
      <c r="AH15" s="6">
        <f t="shared" si="26"/>
        <v>-1.4783355981546878E-5</v>
      </c>
      <c r="AI15" s="6">
        <f t="shared" si="27"/>
        <v>-1.1692502804710966E-3</v>
      </c>
      <c r="AJ15" s="6">
        <f t="shared" si="28"/>
        <v>-6.7480147970159859E-4</v>
      </c>
      <c r="AK15" s="6">
        <f t="shared" si="29"/>
        <v>-6.7654261781233843E-4</v>
      </c>
      <c r="AL15" s="6">
        <f t="shared" si="30"/>
        <v>-3.2416778344424068E-4</v>
      </c>
      <c r="AM15" s="6">
        <f t="shared" si="31"/>
        <v>2.3756210547890843E-4</v>
      </c>
      <c r="AN15" s="6">
        <f t="shared" si="32"/>
        <v>1.5183782375968948E-5</v>
      </c>
      <c r="AO15" s="6">
        <f t="shared" si="33"/>
        <v>-2.7514194926046876E-5</v>
      </c>
      <c r="AP15" s="6">
        <f t="shared" si="34"/>
        <v>1.3064600487413284E-3</v>
      </c>
      <c r="AQ15" s="6">
        <f t="shared" si="35"/>
        <v>-7.3836562223544345E-4</v>
      </c>
      <c r="AR15" s="6">
        <f t="shared" si="36"/>
        <v>1.7994097855032803E-3</v>
      </c>
      <c r="AS15" s="6">
        <f t="shared" si="37"/>
        <v>-1.30543995670966E-4</v>
      </c>
      <c r="AT15" s="6" t="str">
        <f t="shared" si="38"/>
        <v/>
      </c>
      <c r="AU15" s="6" t="str">
        <f t="shared" si="39"/>
        <v/>
      </c>
      <c r="AV15" s="6" t="str">
        <f t="shared" si="40"/>
        <v/>
      </c>
      <c r="AW15" s="6" t="str">
        <f t="shared" si="41"/>
        <v/>
      </c>
      <c r="AX15" s="6" t="str">
        <f t="shared" si="42"/>
        <v/>
      </c>
      <c r="AY15" s="6" t="str">
        <f t="shared" si="43"/>
        <v/>
      </c>
    </row>
    <row r="16" spans="2:60" x14ac:dyDescent="0.3">
      <c r="B16" s="27" t="str">
        <f>Sheet2!D19</f>
        <v>NCPREC</v>
      </c>
      <c r="C16" s="40">
        <f>[1]Summary!C129</f>
        <v>7.2499999999999995E-2</v>
      </c>
      <c r="D16" s="40">
        <f>[1]Summary!D129</f>
        <v>0.13430426499860323</v>
      </c>
      <c r="E16" s="40">
        <v>0</v>
      </c>
      <c r="F16" s="41">
        <v>0</v>
      </c>
      <c r="G16"/>
      <c r="I16" s="35" t="str">
        <f t="shared" si="0"/>
        <v>NCPREC</v>
      </c>
      <c r="J16" s="18">
        <f>Sheet2!E19</f>
        <v>0.44609156619795981</v>
      </c>
      <c r="K16" s="29">
        <f>Sheet2!F19</f>
        <v>0.28384866118334762</v>
      </c>
      <c r="L16" s="18">
        <f>Sheet2!G19</f>
        <v>0.39582044577142367</v>
      </c>
      <c r="M16" s="29">
        <f>Sheet2!H19</f>
        <v>0.47809519747363022</v>
      </c>
      <c r="N16" s="18">
        <f>Sheet2!I19</f>
        <v>0.57692513000126033</v>
      </c>
      <c r="O16" s="29">
        <f>Sheet2!J19</f>
        <v>0.55411219174796555</v>
      </c>
      <c r="P16" s="18">
        <f>Sheet2!K19</f>
        <v>0.38739248896585171</v>
      </c>
      <c r="Q16" s="29">
        <f>Sheet2!L19</f>
        <v>0.14746771027644337</v>
      </c>
      <c r="R16" s="18">
        <f>Sheet2!M19</f>
        <v>0.18792559195196989</v>
      </c>
      <c r="S16" s="29">
        <f>Sheet2!N19</f>
        <v>0.1137341518204424</v>
      </c>
      <c r="T16" s="18">
        <f>Sheet2!O19</f>
        <v>0.38097487039122058</v>
      </c>
      <c r="U16" s="29">
        <f>Sheet2!P19</f>
        <v>0.39409739690269135</v>
      </c>
      <c r="V16" s="29">
        <f>Sheet2!Q19</f>
        <v>-2.2914060634543525E-2</v>
      </c>
      <c r="W16" s="22">
        <f>IF($I16="","",1)</f>
        <v>1</v>
      </c>
      <c r="X16" s="44">
        <f t="shared" ref="X16:AC16" si="55">INDEX(Data_Array,MATCH(X$2,Rows,0),MATCH($I16,Columns,0))</f>
        <v>0</v>
      </c>
      <c r="Y16" s="44">
        <f t="shared" si="55"/>
        <v>0</v>
      </c>
      <c r="Z16" s="44">
        <f t="shared" si="55"/>
        <v>0</v>
      </c>
      <c r="AA16" s="44">
        <f t="shared" si="55"/>
        <v>0</v>
      </c>
      <c r="AB16" s="44">
        <f t="shared" si="55"/>
        <v>0</v>
      </c>
      <c r="AC16" s="45">
        <f t="shared" si="55"/>
        <v>0</v>
      </c>
      <c r="AE16" s="4" t="str">
        <f t="shared" si="2"/>
        <v>NCPREC</v>
      </c>
      <c r="AF16" s="6">
        <f t="shared" si="24"/>
        <v>5.8148583287749283E-3</v>
      </c>
      <c r="AG16" s="6">
        <f t="shared" si="25"/>
        <v>3.7910682260328486E-3</v>
      </c>
      <c r="AH16" s="6">
        <f t="shared" si="26"/>
        <v>5.2438224701290741E-3</v>
      </c>
      <c r="AI16" s="6">
        <f t="shared" si="27"/>
        <v>8.8406812199915922E-3</v>
      </c>
      <c r="AJ16" s="6">
        <f t="shared" si="28"/>
        <v>1.3999403278805738E-2</v>
      </c>
      <c r="AK16" s="6">
        <f t="shared" si="29"/>
        <v>1.5730279673215716E-2</v>
      </c>
      <c r="AL16" s="6">
        <f t="shared" si="30"/>
        <v>7.9284427258191712E-3</v>
      </c>
      <c r="AM16" s="6">
        <f t="shared" si="31"/>
        <v>1.8562933985167866E-3</v>
      </c>
      <c r="AN16" s="6">
        <f t="shared" si="32"/>
        <v>2.0687382380494288E-3</v>
      </c>
      <c r="AO16" s="6">
        <f t="shared" si="33"/>
        <v>2.2918144257077166E-3</v>
      </c>
      <c r="AP16" s="6">
        <f t="shared" si="34"/>
        <v>1.0119355938476191E-2</v>
      </c>
      <c r="AQ16" s="6">
        <f t="shared" si="35"/>
        <v>8.8472067370010798E-3</v>
      </c>
      <c r="AR16" s="6">
        <f t="shared" si="36"/>
        <v>-1.30543995670966E-4</v>
      </c>
      <c r="AS16" s="6">
        <f t="shared" si="37"/>
        <v>1.8037635596815042E-2</v>
      </c>
      <c r="AT16" s="6" t="str">
        <f t="shared" si="38"/>
        <v/>
      </c>
      <c r="AU16" s="6" t="str">
        <f t="shared" si="39"/>
        <v/>
      </c>
      <c r="AV16" s="6" t="str">
        <f t="shared" si="40"/>
        <v/>
      </c>
      <c r="AW16" s="6" t="str">
        <f t="shared" si="41"/>
        <v/>
      </c>
      <c r="AX16" s="6" t="str">
        <f t="shared" si="42"/>
        <v/>
      </c>
      <c r="AY16" s="6" t="str">
        <f t="shared" si="43"/>
        <v/>
      </c>
    </row>
    <row r="17" spans="2:51" x14ac:dyDescent="0.3">
      <c r="B17" s="26"/>
      <c r="C17" s="38"/>
      <c r="D17" s="38"/>
      <c r="E17" s="38"/>
      <c r="F17" s="39"/>
      <c r="G17"/>
      <c r="I17" s="36" t="str">
        <f t="shared" si="0"/>
        <v/>
      </c>
      <c r="J17" s="20"/>
      <c r="K17" s="21"/>
      <c r="L17" s="20"/>
      <c r="M17" s="21"/>
      <c r="N17" s="20"/>
      <c r="O17" s="21"/>
      <c r="P17" s="20"/>
      <c r="Q17" s="21"/>
      <c r="R17" s="20"/>
      <c r="S17" s="21"/>
      <c r="T17" s="20"/>
      <c r="U17" s="21"/>
      <c r="V17" s="21"/>
      <c r="W17" s="21"/>
      <c r="X17" s="22" t="str">
        <f>IF($I17="","",1)</f>
        <v/>
      </c>
      <c r="Y17" s="44" t="str">
        <f>INDEX(Data_Array,MATCH(Y$2,Rows,0),MATCH($I17,Columns,0))</f>
        <v/>
      </c>
      <c r="Z17" s="44" t="str">
        <f>INDEX(Data_Array,MATCH(Z$2,Rows,0),MATCH($I17,Columns,0))</f>
        <v/>
      </c>
      <c r="AA17" s="44" t="str">
        <f>INDEX(Data_Array,MATCH(AA$2,Rows,0),MATCH($I17,Columns,0))</f>
        <v/>
      </c>
      <c r="AB17" s="44" t="str">
        <f>INDEX(Data_Array,MATCH(AB$2,Rows,0),MATCH($I17,Columns,0))</f>
        <v/>
      </c>
      <c r="AC17" s="45" t="str">
        <f>INDEX(Data_Array,MATCH(AC$2,Rows,0),MATCH($I17,Columns,0))</f>
        <v/>
      </c>
      <c r="AE17" s="4" t="str">
        <f t="shared" si="2"/>
        <v/>
      </c>
      <c r="AF17" s="6" t="str">
        <f t="shared" si="24"/>
        <v/>
      </c>
      <c r="AG17" s="6" t="str">
        <f t="shared" si="25"/>
        <v/>
      </c>
      <c r="AH17" s="6" t="str">
        <f t="shared" si="26"/>
        <v/>
      </c>
      <c r="AI17" s="6" t="str">
        <f t="shared" si="27"/>
        <v/>
      </c>
      <c r="AJ17" s="6" t="str">
        <f t="shared" si="28"/>
        <v/>
      </c>
      <c r="AK17" s="6" t="str">
        <f t="shared" si="29"/>
        <v/>
      </c>
      <c r="AL17" s="6" t="str">
        <f t="shared" si="30"/>
        <v/>
      </c>
      <c r="AM17" s="6" t="str">
        <f t="shared" si="31"/>
        <v/>
      </c>
      <c r="AN17" s="6" t="str">
        <f t="shared" si="32"/>
        <v/>
      </c>
      <c r="AO17" s="6" t="str">
        <f t="shared" si="33"/>
        <v/>
      </c>
      <c r="AP17" s="6" t="str">
        <f t="shared" si="34"/>
        <v/>
      </c>
      <c r="AQ17" s="6" t="str">
        <f t="shared" si="35"/>
        <v/>
      </c>
      <c r="AR17" s="6" t="str">
        <f t="shared" si="36"/>
        <v/>
      </c>
      <c r="AS17" s="6" t="str">
        <f t="shared" si="37"/>
        <v/>
      </c>
      <c r="AT17" s="6" t="str">
        <f t="shared" si="38"/>
        <v/>
      </c>
      <c r="AU17" s="6" t="str">
        <f t="shared" si="39"/>
        <v/>
      </c>
      <c r="AV17" s="6" t="str">
        <f t="shared" si="40"/>
        <v/>
      </c>
      <c r="AW17" s="6" t="str">
        <f t="shared" si="41"/>
        <v/>
      </c>
      <c r="AX17" s="6" t="str">
        <f t="shared" si="42"/>
        <v/>
      </c>
      <c r="AY17" s="6" t="str">
        <f t="shared" si="43"/>
        <v/>
      </c>
    </row>
    <row r="18" spans="2:51" x14ac:dyDescent="0.3">
      <c r="B18" s="27"/>
      <c r="C18" s="40"/>
      <c r="D18" s="40"/>
      <c r="E18" s="40"/>
      <c r="F18" s="41"/>
      <c r="G18"/>
      <c r="I18" s="35" t="str">
        <f t="shared" si="0"/>
        <v/>
      </c>
      <c r="J18" s="18"/>
      <c r="K18" s="29"/>
      <c r="L18" s="18"/>
      <c r="M18" s="29"/>
      <c r="N18" s="18"/>
      <c r="O18" s="29"/>
      <c r="P18" s="18"/>
      <c r="Q18" s="29"/>
      <c r="R18" s="18"/>
      <c r="S18" s="29"/>
      <c r="T18" s="18"/>
      <c r="U18" s="29"/>
      <c r="V18" s="29"/>
      <c r="W18" s="29"/>
      <c r="X18" s="29"/>
      <c r="Y18" s="22" t="str">
        <f>IF($I18="","",1)</f>
        <v/>
      </c>
      <c r="Z18" s="44" t="str">
        <f>INDEX(Data_Array,MATCH(Z$2,Rows,0),MATCH($I18,Columns,0))</f>
        <v/>
      </c>
      <c r="AA18" s="44" t="str">
        <f>INDEX(Data_Array,MATCH(AA$2,Rows,0),MATCH($I18,Columns,0))</f>
        <v/>
      </c>
      <c r="AB18" s="44" t="str">
        <f>INDEX(Data_Array,MATCH(AB$2,Rows,0),MATCH($I18,Columns,0))</f>
        <v/>
      </c>
      <c r="AC18" s="45" t="str">
        <f>INDEX(Data_Array,MATCH(AC$2,Rows,0),MATCH($I18,Columns,0))</f>
        <v/>
      </c>
      <c r="AE18" s="4" t="str">
        <f t="shared" si="2"/>
        <v/>
      </c>
      <c r="AF18" s="6" t="str">
        <f t="shared" si="24"/>
        <v/>
      </c>
      <c r="AG18" s="6" t="str">
        <f t="shared" si="25"/>
        <v/>
      </c>
      <c r="AH18" s="6" t="str">
        <f t="shared" si="26"/>
        <v/>
      </c>
      <c r="AI18" s="6" t="str">
        <f t="shared" si="27"/>
        <v/>
      </c>
      <c r="AJ18" s="6" t="str">
        <f t="shared" si="28"/>
        <v/>
      </c>
      <c r="AK18" s="6" t="str">
        <f t="shared" si="29"/>
        <v/>
      </c>
      <c r="AL18" s="6" t="str">
        <f t="shared" si="30"/>
        <v/>
      </c>
      <c r="AM18" s="6" t="str">
        <f t="shared" si="31"/>
        <v/>
      </c>
      <c r="AN18" s="6" t="str">
        <f t="shared" si="32"/>
        <v/>
      </c>
      <c r="AO18" s="6" t="str">
        <f t="shared" si="33"/>
        <v/>
      </c>
      <c r="AP18" s="6" t="str">
        <f t="shared" si="34"/>
        <v/>
      </c>
      <c r="AQ18" s="6" t="str">
        <f t="shared" si="35"/>
        <v/>
      </c>
      <c r="AR18" s="6" t="str">
        <f t="shared" si="36"/>
        <v/>
      </c>
      <c r="AS18" s="6" t="str">
        <f t="shared" si="37"/>
        <v/>
      </c>
      <c r="AT18" s="6" t="str">
        <f t="shared" si="38"/>
        <v/>
      </c>
      <c r="AU18" s="6" t="str">
        <f t="shared" si="39"/>
        <v/>
      </c>
      <c r="AV18" s="6" t="str">
        <f t="shared" si="40"/>
        <v/>
      </c>
      <c r="AW18" s="6" t="str">
        <f t="shared" si="41"/>
        <v/>
      </c>
      <c r="AX18" s="6" t="str">
        <f t="shared" si="42"/>
        <v/>
      </c>
      <c r="AY18" s="6" t="str">
        <f t="shared" si="43"/>
        <v/>
      </c>
    </row>
    <row r="19" spans="2:51" x14ac:dyDescent="0.3">
      <c r="B19" s="26"/>
      <c r="C19" s="38"/>
      <c r="D19" s="38"/>
      <c r="E19" s="38"/>
      <c r="F19" s="39"/>
      <c r="G19"/>
      <c r="I19" s="36" t="str">
        <f t="shared" si="0"/>
        <v/>
      </c>
      <c r="J19" s="20"/>
      <c r="K19" s="21"/>
      <c r="L19" s="20"/>
      <c r="M19" s="21"/>
      <c r="N19" s="20"/>
      <c r="O19" s="21"/>
      <c r="P19" s="20"/>
      <c r="Q19" s="21"/>
      <c r="R19" s="20"/>
      <c r="S19" s="21"/>
      <c r="T19" s="20"/>
      <c r="U19" s="21"/>
      <c r="V19" s="21"/>
      <c r="W19" s="21"/>
      <c r="X19" s="21"/>
      <c r="Y19" s="21"/>
      <c r="Z19" s="22" t="str">
        <f>IF($I19="","",1)</f>
        <v/>
      </c>
      <c r="AA19" s="44" t="str">
        <f>INDEX(Data_Array,MATCH(AA$2,Rows,0),MATCH($I19,Columns,0))</f>
        <v/>
      </c>
      <c r="AB19" s="44" t="str">
        <f>INDEX(Data_Array,MATCH(AB$2,Rows,0),MATCH($I19,Columns,0))</f>
        <v/>
      </c>
      <c r="AC19" s="45" t="str">
        <f>INDEX(Data_Array,MATCH(AC$2,Rows,0),MATCH($I19,Columns,0))</f>
        <v/>
      </c>
      <c r="AE19" s="4" t="str">
        <f t="shared" si="2"/>
        <v/>
      </c>
      <c r="AF19" s="6" t="str">
        <f t="shared" si="24"/>
        <v/>
      </c>
      <c r="AG19" s="6" t="str">
        <f t="shared" si="25"/>
        <v/>
      </c>
      <c r="AH19" s="6" t="str">
        <f t="shared" si="26"/>
        <v/>
      </c>
      <c r="AI19" s="6" t="str">
        <f t="shared" si="27"/>
        <v/>
      </c>
      <c r="AJ19" s="6" t="str">
        <f t="shared" si="28"/>
        <v/>
      </c>
      <c r="AK19" s="6" t="str">
        <f t="shared" si="29"/>
        <v/>
      </c>
      <c r="AL19" s="6" t="str">
        <f t="shared" si="30"/>
        <v/>
      </c>
      <c r="AM19" s="6" t="str">
        <f t="shared" si="31"/>
        <v/>
      </c>
      <c r="AN19" s="6" t="str">
        <f t="shared" si="32"/>
        <v/>
      </c>
      <c r="AO19" s="6" t="str">
        <f t="shared" si="33"/>
        <v/>
      </c>
      <c r="AP19" s="6" t="str">
        <f t="shared" si="34"/>
        <v/>
      </c>
      <c r="AQ19" s="6" t="str">
        <f t="shared" si="35"/>
        <v/>
      </c>
      <c r="AR19" s="6" t="str">
        <f t="shared" si="36"/>
        <v/>
      </c>
      <c r="AS19" s="6" t="str">
        <f t="shared" si="37"/>
        <v/>
      </c>
      <c r="AT19" s="6" t="str">
        <f t="shared" si="38"/>
        <v/>
      </c>
      <c r="AU19" s="6" t="str">
        <f t="shared" si="39"/>
        <v/>
      </c>
      <c r="AV19" s="6" t="str">
        <f t="shared" si="40"/>
        <v/>
      </c>
      <c r="AW19" s="6" t="str">
        <f t="shared" si="41"/>
        <v/>
      </c>
      <c r="AX19" s="6" t="str">
        <f t="shared" si="42"/>
        <v/>
      </c>
      <c r="AY19" s="6" t="str">
        <f t="shared" si="43"/>
        <v/>
      </c>
    </row>
    <row r="20" spans="2:51" x14ac:dyDescent="0.3">
      <c r="B20" s="27"/>
      <c r="C20" s="40"/>
      <c r="D20" s="40"/>
      <c r="E20" s="40"/>
      <c r="F20" s="41"/>
      <c r="G20"/>
      <c r="I20" s="35" t="str">
        <f t="shared" si="0"/>
        <v/>
      </c>
      <c r="J20" s="18"/>
      <c r="K20" s="29"/>
      <c r="L20" s="18"/>
      <c r="M20" s="29"/>
      <c r="N20" s="18"/>
      <c r="O20" s="29"/>
      <c r="P20" s="18"/>
      <c r="Q20" s="29"/>
      <c r="R20" s="18"/>
      <c r="S20" s="29"/>
      <c r="T20" s="18"/>
      <c r="U20" s="29"/>
      <c r="V20" s="29"/>
      <c r="W20" s="29"/>
      <c r="X20" s="29"/>
      <c r="Y20" s="29"/>
      <c r="Z20" s="29"/>
      <c r="AA20" s="22" t="str">
        <f>IF($I20="","",1)</f>
        <v/>
      </c>
      <c r="AB20" s="44" t="str">
        <f>INDEX(Data_Array,MATCH(AB$2,Rows,0),MATCH($I20,Columns,0))</f>
        <v/>
      </c>
      <c r="AC20" s="45" t="str">
        <f>INDEX(Data_Array,MATCH(AC$2,Rows,0),MATCH($I20,Columns,0))</f>
        <v/>
      </c>
      <c r="AE20" s="4" t="str">
        <f t="shared" si="2"/>
        <v/>
      </c>
      <c r="AF20" s="6" t="str">
        <f t="shared" si="24"/>
        <v/>
      </c>
      <c r="AG20" s="6" t="str">
        <f t="shared" si="25"/>
        <v/>
      </c>
      <c r="AH20" s="6" t="str">
        <f t="shared" si="26"/>
        <v/>
      </c>
      <c r="AI20" s="6" t="str">
        <f t="shared" si="27"/>
        <v/>
      </c>
      <c r="AJ20" s="6" t="str">
        <f t="shared" si="28"/>
        <v/>
      </c>
      <c r="AK20" s="6" t="str">
        <f t="shared" si="29"/>
        <v/>
      </c>
      <c r="AL20" s="6" t="str">
        <f t="shared" si="30"/>
        <v/>
      </c>
      <c r="AM20" s="6" t="str">
        <f t="shared" si="31"/>
        <v/>
      </c>
      <c r="AN20" s="6" t="str">
        <f t="shared" si="32"/>
        <v/>
      </c>
      <c r="AO20" s="6" t="str">
        <f t="shared" si="33"/>
        <v/>
      </c>
      <c r="AP20" s="6" t="str">
        <f t="shared" si="34"/>
        <v/>
      </c>
      <c r="AQ20" s="6" t="str">
        <f t="shared" si="35"/>
        <v/>
      </c>
      <c r="AR20" s="6" t="str">
        <f t="shared" si="36"/>
        <v/>
      </c>
      <c r="AS20" s="6" t="str">
        <f t="shared" si="37"/>
        <v/>
      </c>
      <c r="AT20" s="6" t="str">
        <f t="shared" si="38"/>
        <v/>
      </c>
      <c r="AU20" s="6" t="str">
        <f t="shared" si="39"/>
        <v/>
      </c>
      <c r="AV20" s="6" t="str">
        <f t="shared" si="40"/>
        <v/>
      </c>
      <c r="AW20" s="6" t="str">
        <f t="shared" si="41"/>
        <v/>
      </c>
      <c r="AX20" s="6" t="str">
        <f t="shared" si="42"/>
        <v/>
      </c>
      <c r="AY20" s="6" t="str">
        <f t="shared" si="43"/>
        <v/>
      </c>
    </row>
    <row r="21" spans="2:51" x14ac:dyDescent="0.3">
      <c r="B21" s="26"/>
      <c r="C21" s="38"/>
      <c r="D21" s="38"/>
      <c r="E21" s="38"/>
      <c r="F21" s="39"/>
      <c r="G21"/>
      <c r="I21" s="36" t="str">
        <f t="shared" si="0"/>
        <v/>
      </c>
      <c r="J21" s="20"/>
      <c r="K21" s="21"/>
      <c r="L21" s="20"/>
      <c r="M21" s="21"/>
      <c r="N21" s="20"/>
      <c r="O21" s="21"/>
      <c r="P21" s="20"/>
      <c r="Q21" s="21"/>
      <c r="R21" s="20"/>
      <c r="S21" s="21"/>
      <c r="T21" s="20"/>
      <c r="U21" s="21"/>
      <c r="V21" s="21"/>
      <c r="W21" s="21"/>
      <c r="X21" s="21"/>
      <c r="Y21" s="21"/>
      <c r="Z21" s="21"/>
      <c r="AA21" s="21"/>
      <c r="AB21" s="22" t="str">
        <f>IF($I21="","",1)</f>
        <v/>
      </c>
      <c r="AC21" s="45" t="str">
        <f>INDEX(Data_Array,MATCH(AC$2,Rows,0),MATCH($I21,Columns,0))</f>
        <v/>
      </c>
      <c r="AE21" s="4" t="str">
        <f t="shared" si="2"/>
        <v/>
      </c>
      <c r="AF21" s="6" t="str">
        <f t="shared" si="24"/>
        <v/>
      </c>
      <c r="AG21" s="6" t="str">
        <f t="shared" si="25"/>
        <v/>
      </c>
      <c r="AH21" s="6" t="str">
        <f t="shared" si="26"/>
        <v/>
      </c>
      <c r="AI21" s="6" t="str">
        <f t="shared" si="27"/>
        <v/>
      </c>
      <c r="AJ21" s="6" t="str">
        <f t="shared" si="28"/>
        <v/>
      </c>
      <c r="AK21" s="6" t="str">
        <f t="shared" si="29"/>
        <v/>
      </c>
      <c r="AL21" s="6" t="str">
        <f t="shared" si="30"/>
        <v/>
      </c>
      <c r="AM21" s="6" t="str">
        <f t="shared" si="31"/>
        <v/>
      </c>
      <c r="AN21" s="6" t="str">
        <f t="shared" si="32"/>
        <v/>
      </c>
      <c r="AO21" s="6" t="str">
        <f t="shared" si="33"/>
        <v/>
      </c>
      <c r="AP21" s="6" t="str">
        <f t="shared" si="34"/>
        <v/>
      </c>
      <c r="AQ21" s="6" t="str">
        <f t="shared" si="35"/>
        <v/>
      </c>
      <c r="AR21" s="6" t="str">
        <f t="shared" si="36"/>
        <v/>
      </c>
      <c r="AS21" s="6" t="str">
        <f t="shared" si="37"/>
        <v/>
      </c>
      <c r="AT21" s="6" t="str">
        <f t="shared" si="38"/>
        <v/>
      </c>
      <c r="AU21" s="6" t="str">
        <f t="shared" si="39"/>
        <v/>
      </c>
      <c r="AV21" s="6" t="str">
        <f t="shared" si="40"/>
        <v/>
      </c>
      <c r="AW21" s="6" t="str">
        <f t="shared" si="41"/>
        <v/>
      </c>
      <c r="AX21" s="6" t="str">
        <f t="shared" si="42"/>
        <v/>
      </c>
      <c r="AY21" s="6" t="str">
        <f t="shared" si="43"/>
        <v/>
      </c>
    </row>
    <row r="22" spans="2:51" x14ac:dyDescent="0.3">
      <c r="B22" s="28"/>
      <c r="C22" s="42"/>
      <c r="D22" s="42"/>
      <c r="E22" s="42"/>
      <c r="F22" s="43"/>
      <c r="G22"/>
      <c r="I22" s="37" t="str">
        <f t="shared" si="0"/>
        <v/>
      </c>
      <c r="J22" s="32"/>
      <c r="K22" s="33"/>
      <c r="L22" s="32"/>
      <c r="M22" s="33"/>
      <c r="N22" s="32"/>
      <c r="O22" s="33"/>
      <c r="P22" s="32"/>
      <c r="Q22" s="33"/>
      <c r="R22" s="32"/>
      <c r="S22" s="33"/>
      <c r="T22" s="32"/>
      <c r="U22" s="33"/>
      <c r="V22" s="33"/>
      <c r="W22" s="33"/>
      <c r="X22" s="33"/>
      <c r="Y22" s="33"/>
      <c r="Z22" s="33"/>
      <c r="AA22" s="33"/>
      <c r="AB22" s="33"/>
      <c r="AC22" s="22" t="str">
        <f>IF($I22="","",1)</f>
        <v/>
      </c>
      <c r="AE22" s="4" t="str">
        <f t="shared" si="2"/>
        <v/>
      </c>
      <c r="AF22" s="6" t="str">
        <f t="shared" si="24"/>
        <v/>
      </c>
      <c r="AG22" s="6" t="str">
        <f t="shared" si="25"/>
        <v/>
      </c>
      <c r="AH22" s="6" t="str">
        <f t="shared" si="26"/>
        <v/>
      </c>
      <c r="AI22" s="6" t="str">
        <f t="shared" si="27"/>
        <v/>
      </c>
      <c r="AJ22" s="6" t="str">
        <f t="shared" si="28"/>
        <v/>
      </c>
      <c r="AK22" s="6" t="str">
        <f t="shared" si="29"/>
        <v/>
      </c>
      <c r="AL22" s="6" t="str">
        <f t="shared" si="30"/>
        <v/>
      </c>
      <c r="AM22" s="6" t="str">
        <f t="shared" si="31"/>
        <v/>
      </c>
      <c r="AN22" s="6" t="str">
        <f t="shared" si="32"/>
        <v/>
      </c>
      <c r="AO22" s="6" t="str">
        <f t="shared" si="33"/>
        <v/>
      </c>
      <c r="AP22" s="6" t="str">
        <f t="shared" si="34"/>
        <v/>
      </c>
      <c r="AQ22" s="6" t="str">
        <f t="shared" si="35"/>
        <v/>
      </c>
      <c r="AR22" s="6" t="str">
        <f t="shared" si="36"/>
        <v/>
      </c>
      <c r="AS22" s="6" t="str">
        <f t="shared" si="37"/>
        <v/>
      </c>
      <c r="AT22" s="6" t="str">
        <f t="shared" si="38"/>
        <v/>
      </c>
      <c r="AU22" s="6" t="str">
        <f t="shared" si="39"/>
        <v/>
      </c>
      <c r="AV22" s="6" t="str">
        <f t="shared" si="40"/>
        <v/>
      </c>
      <c r="AW22" s="6" t="str">
        <f t="shared" si="41"/>
        <v/>
      </c>
      <c r="AX22" s="6" t="str">
        <f t="shared" si="42"/>
        <v/>
      </c>
      <c r="AY22" s="6" t="str">
        <f t="shared" si="43"/>
        <v/>
      </c>
    </row>
    <row r="23" spans="2:51" ht="39" customHeight="1" x14ac:dyDescent="0.3">
      <c r="G23"/>
      <c r="AE23" s="4" t="s">
        <v>8</v>
      </c>
      <c r="AF23" s="7">
        <f>IF(AF3="","",SUMPRODUCT(AF3:AF22,$G$3:$G$22)*AF24)</f>
        <v>0</v>
      </c>
      <c r="AG23" s="7">
        <f t="shared" ref="AG23:AY23" si="56">IF(AG3="","",SUMPRODUCT(AG3:AG22,$G$3:$G$22)*AG24)</f>
        <v>0</v>
      </c>
      <c r="AH23" s="7">
        <f t="shared" si="56"/>
        <v>0</v>
      </c>
      <c r="AI23" s="7">
        <f t="shared" si="56"/>
        <v>0</v>
      </c>
      <c r="AJ23" s="7">
        <f t="shared" si="56"/>
        <v>0</v>
      </c>
      <c r="AK23" s="7">
        <f t="shared" si="56"/>
        <v>0</v>
      </c>
      <c r="AL23" s="7">
        <f t="shared" si="56"/>
        <v>0</v>
      </c>
      <c r="AM23" s="7">
        <f t="shared" si="56"/>
        <v>0</v>
      </c>
      <c r="AN23" s="7">
        <f t="shared" si="56"/>
        <v>0</v>
      </c>
      <c r="AO23" s="7">
        <f t="shared" si="56"/>
        <v>0</v>
      </c>
      <c r="AP23" s="7">
        <f t="shared" si="56"/>
        <v>0</v>
      </c>
      <c r="AQ23" s="7">
        <f t="shared" si="56"/>
        <v>0</v>
      </c>
      <c r="AR23" s="7">
        <f t="shared" si="56"/>
        <v>0</v>
      </c>
      <c r="AS23" s="7">
        <f t="shared" si="56"/>
        <v>0</v>
      </c>
      <c r="AT23" s="7" t="str">
        <f t="shared" si="56"/>
        <v/>
      </c>
      <c r="AU23" s="7" t="str">
        <f t="shared" si="56"/>
        <v/>
      </c>
      <c r="AV23" s="7" t="str">
        <f t="shared" si="56"/>
        <v/>
      </c>
      <c r="AW23" s="7" t="str">
        <f t="shared" si="56"/>
        <v/>
      </c>
      <c r="AX23" s="7" t="str">
        <f t="shared" si="56"/>
        <v/>
      </c>
      <c r="AY23" s="7" t="str">
        <f t="shared" si="56"/>
        <v/>
      </c>
    </row>
    <row r="24" spans="2:51" x14ac:dyDescent="0.3">
      <c r="G24"/>
      <c r="J24" s="2"/>
      <c r="AE24" s="4" t="s">
        <v>4</v>
      </c>
      <c r="AF24" s="8">
        <f t="array" ref="AF24:AY24">TRANSPOSE(G3:G22)</f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</row>
    <row r="25" spans="2:51" x14ac:dyDescent="0.3">
      <c r="G25"/>
    </row>
    <row r="26" spans="2:51" x14ac:dyDescent="0.3">
      <c r="G26"/>
    </row>
    <row r="27" spans="2:51" x14ac:dyDescent="0.3">
      <c r="G27"/>
    </row>
    <row r="28" spans="2:51" x14ac:dyDescent="0.3">
      <c r="G28"/>
    </row>
    <row r="29" spans="2:51" x14ac:dyDescent="0.3">
      <c r="G29"/>
    </row>
    <row r="30" spans="2:51" x14ac:dyDescent="0.3">
      <c r="G30"/>
    </row>
    <row r="31" spans="2:51" x14ac:dyDescent="0.3">
      <c r="G31"/>
    </row>
    <row r="32" spans="2:51" x14ac:dyDescent="0.3">
      <c r="G32"/>
    </row>
    <row r="33" spans="7:7" x14ac:dyDescent="0.3">
      <c r="G33"/>
    </row>
    <row r="34" spans="7:7" x14ac:dyDescent="0.3">
      <c r="G34"/>
    </row>
    <row r="35" spans="7:7" x14ac:dyDescent="0.3">
      <c r="G35"/>
    </row>
    <row r="36" spans="7:7" x14ac:dyDescent="0.3">
      <c r="G36"/>
    </row>
    <row r="37" spans="7:7" x14ac:dyDescent="0.3">
      <c r="G37"/>
    </row>
    <row r="38" spans="7:7" x14ac:dyDescent="0.3">
      <c r="G38"/>
    </row>
    <row r="39" spans="7:7" x14ac:dyDescent="0.3">
      <c r="G39"/>
    </row>
    <row r="40" spans="7:7" x14ac:dyDescent="0.3">
      <c r="G40"/>
    </row>
    <row r="41" spans="7:7" x14ac:dyDescent="0.3">
      <c r="G41"/>
    </row>
    <row r="42" spans="7:7" x14ac:dyDescent="0.3">
      <c r="G42"/>
    </row>
    <row r="43" spans="7:7" x14ac:dyDescent="0.3">
      <c r="G43"/>
    </row>
    <row r="44" spans="7:7" x14ac:dyDescent="0.3">
      <c r="G44"/>
    </row>
    <row r="45" spans="7:7" x14ac:dyDescent="0.3">
      <c r="G45"/>
    </row>
    <row r="46" spans="7:7" x14ac:dyDescent="0.3">
      <c r="G46"/>
    </row>
    <row r="47" spans="7:7" x14ac:dyDescent="0.3">
      <c r="G47"/>
    </row>
  </sheetData>
  <sheetProtection algorithmName="SHA-512" hashValue="cH8eBRNLfBwQMWbaW0xsuWV8mQoONiQTJSLesg5IrxU6PFSKHf5xXXVeOhqfGHW19Z2lOBXHrec88nRqdg7ONA==" saltValue="sbrfMaOFKsejWfswWN1Pgg==" spinCount="100000" sheet="1" objects="1" scenarios="1" selectLockedCells="1"/>
  <mergeCells count="1">
    <mergeCell ref="I1:J1"/>
  </mergeCells>
  <conditionalFormatting sqref="K5 J4:J5">
    <cfRule type="expression" dxfId="23" priority="10">
      <formula>AND($I4&lt;&gt;"",J4="")</formula>
    </cfRule>
  </conditionalFormatting>
  <conditionalFormatting sqref="C3:F4">
    <cfRule type="expression" dxfId="22" priority="11">
      <formula>AND($B3&lt;&gt;"",C3="")</formula>
    </cfRule>
  </conditionalFormatting>
  <conditionalFormatting sqref="J6:L6">
    <cfRule type="expression" dxfId="21" priority="6">
      <formula>AND($I6&lt;&gt;"",J6="")</formula>
    </cfRule>
  </conditionalFormatting>
  <conditionalFormatting sqref="J7:M15 N15:U15 N14:T14 N13:S13 N12:R12 N11:Q11 N10:P10 N9:O9 N8">
    <cfRule type="expression" dxfId="20" priority="5">
      <formula>AND($I7&lt;&gt;"",J7="")</formula>
    </cfRule>
  </conditionalFormatting>
  <conditionalFormatting sqref="J16:V22 W17:W22 X22:AB22 X21:AA21 X20:Z20 X19:Y19 X18">
    <cfRule type="expression" dxfId="19" priority="4">
      <formula>AND($I16&lt;&gt;"",J16="")</formula>
    </cfRule>
  </conditionalFormatting>
  <conditionalFormatting sqref="C5:F22">
    <cfRule type="expression" dxfId="18" priority="3">
      <formula>AND($B5&lt;&gt;"",C5="")</formula>
    </cfRule>
  </conditionalFormatting>
  <conditionalFormatting sqref="E3:E49">
    <cfRule type="expression" dxfId="17" priority="2">
      <formula>AND($E3&lt;&gt;"",$E3&lt;$F3)</formula>
    </cfRule>
  </conditionalFormatting>
  <conditionalFormatting sqref="F3:F40">
    <cfRule type="expression" dxfId="16" priority="1">
      <formula>AND($F3&lt;&gt;"",$F3&gt;$E3)</formula>
    </cfRule>
  </conditionalFormatting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5" tint="-0.499984740745262"/>
  </sheetPr>
  <dimension ref="A1:IH111"/>
  <sheetViews>
    <sheetView showGridLines="0" showRowColHeaders="0" tabSelected="1" zoomScale="55" zoomScaleNormal="55" workbookViewId="0">
      <selection activeCell="P32" sqref="P32:P33"/>
    </sheetView>
  </sheetViews>
  <sheetFormatPr defaultColWidth="9.109375" defaultRowHeight="14.4" x14ac:dyDescent="0.3"/>
  <cols>
    <col min="1" max="1" width="30.109375" style="75" customWidth="1"/>
    <col min="2" max="33" width="10.5546875" style="70" customWidth="1"/>
    <col min="34" max="16384" width="9.109375" style="70"/>
  </cols>
  <sheetData>
    <row r="1" spans="1:242" s="65" customFormat="1" ht="35.25" customHeight="1" x14ac:dyDescent="0.3">
      <c r="A1" s="64" t="s">
        <v>23</v>
      </c>
      <c r="AH1" s="65">
        <v>0</v>
      </c>
    </row>
    <row r="2" spans="1:242" x14ac:dyDescent="0.3">
      <c r="A2" s="66" t="s">
        <v>7</v>
      </c>
      <c r="B2" s="67">
        <v>0.05</v>
      </c>
      <c r="C2" s="67">
        <v>5.2857143027441843E-2</v>
      </c>
      <c r="D2" s="67">
        <v>5.5714286054883683E-2</v>
      </c>
      <c r="E2" s="67">
        <v>5.8571429082325523E-2</v>
      </c>
      <c r="F2" s="67">
        <v>6.1428572109767363E-2</v>
      </c>
      <c r="G2" s="67">
        <v>6.4285715137209209E-2</v>
      </c>
      <c r="H2" s="67">
        <v>6.7142858164651056E-2</v>
      </c>
      <c r="I2" s="67">
        <v>7.0000001192092903E-2</v>
      </c>
      <c r="J2" s="67">
        <v>7.285714421953475E-2</v>
      </c>
      <c r="K2" s="67">
        <v>7.5714287246976597E-2</v>
      </c>
      <c r="L2" s="68">
        <v>7.8571430274418444E-2</v>
      </c>
      <c r="M2" s="69">
        <v>8.1428573301860291E-2</v>
      </c>
      <c r="N2" s="69">
        <v>8.4285716329302138E-2</v>
      </c>
      <c r="O2" s="69">
        <v>8.7142859356743985E-2</v>
      </c>
      <c r="P2" s="69">
        <v>9.0000002384185832E-2</v>
      </c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69"/>
      <c r="BH2" s="69"/>
      <c r="BI2" s="69"/>
      <c r="BJ2" s="69"/>
      <c r="IH2" s="69"/>
    </row>
    <row r="3" spans="1:242" x14ac:dyDescent="0.3">
      <c r="A3" s="66" t="s">
        <v>1</v>
      </c>
      <c r="B3" s="67">
        <v>7.9110683099404014E-2</v>
      </c>
      <c r="C3" s="67">
        <v>6.3193764879042963E-2</v>
      </c>
      <c r="D3" s="67">
        <v>5.5735132683030389E-2</v>
      </c>
      <c r="E3" s="67">
        <v>5.5182935508150864E-2</v>
      </c>
      <c r="F3" s="67">
        <v>5.9184746365519229E-2</v>
      </c>
      <c r="G3" s="67">
        <v>6.5962586906596787E-2</v>
      </c>
      <c r="H3" s="67">
        <v>7.3913649451919305E-2</v>
      </c>
      <c r="I3" s="67">
        <v>8.4026472342774008E-2</v>
      </c>
      <c r="J3" s="67">
        <v>9.5910274521157107E-2</v>
      </c>
      <c r="K3" s="67">
        <v>0.10887042026215162</v>
      </c>
      <c r="L3" s="67">
        <v>0.12319468211870506</v>
      </c>
      <c r="M3" s="71">
        <v>0.13951823599159954</v>
      </c>
      <c r="N3" s="72">
        <v>0.15902286162670701</v>
      </c>
      <c r="O3" s="71">
        <v>0.18244510358285684</v>
      </c>
      <c r="P3" s="71">
        <v>0.21137271897277665</v>
      </c>
      <c r="Q3" s="71"/>
      <c r="R3" s="71"/>
      <c r="S3" s="71"/>
      <c r="T3" s="71"/>
      <c r="U3" s="71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</row>
    <row r="4" spans="1:242" x14ac:dyDescent="0.3">
      <c r="A4" s="66" t="s">
        <v>3</v>
      </c>
      <c r="B4" s="73">
        <v>0.63202590195282371</v>
      </c>
      <c r="C4" s="73">
        <v>0.83642972432683993</v>
      </c>
      <c r="D4" s="73">
        <v>0.99962596269520576</v>
      </c>
      <c r="E4" s="73">
        <v>1.0614047357508272</v>
      </c>
      <c r="F4" s="73">
        <v>1.0379122206340545</v>
      </c>
      <c r="G4" s="73">
        <v>0.9745784434130782</v>
      </c>
      <c r="H4" s="73">
        <v>0.90839592887612908</v>
      </c>
      <c r="I4" s="73">
        <v>0.83307081079285161</v>
      </c>
      <c r="J4" s="73">
        <v>0.75963856191303369</v>
      </c>
      <c r="K4" s="73">
        <v>0.69545325339995523</v>
      </c>
      <c r="L4" s="73">
        <v>0.63778264374991067</v>
      </c>
      <c r="M4" s="74">
        <v>0.58364165242116262</v>
      </c>
      <c r="N4" s="74">
        <v>0.53002263951062967</v>
      </c>
      <c r="O4" s="74">
        <v>0.47763879460408309</v>
      </c>
      <c r="P4" s="74">
        <v>0.42578815486397453</v>
      </c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</row>
    <row r="5" spans="1:242" s="69" customFormat="1" x14ac:dyDescent="0.3">
      <c r="A5" s="79" t="s">
        <v>33</v>
      </c>
      <c r="B5" s="68">
        <v>0</v>
      </c>
      <c r="C5" s="68">
        <v>1.1359629360861077E-2</v>
      </c>
      <c r="D5" s="68">
        <v>0.10684512665267995</v>
      </c>
      <c r="E5" s="68">
        <v>0.16304298378622978</v>
      </c>
      <c r="F5" s="68">
        <v>0.20732042321657496</v>
      </c>
      <c r="G5" s="68">
        <v>0.23986119758591112</v>
      </c>
      <c r="H5" s="68">
        <v>0.2565160369754213</v>
      </c>
      <c r="I5" s="68">
        <v>0.25573324995683361</v>
      </c>
      <c r="J5" s="68">
        <v>0.11099374959334399</v>
      </c>
      <c r="K5" s="68">
        <v>0</v>
      </c>
      <c r="L5" s="68">
        <v>0</v>
      </c>
      <c r="M5" s="69">
        <v>0</v>
      </c>
      <c r="N5" s="69">
        <v>0</v>
      </c>
      <c r="O5" s="69">
        <v>0</v>
      </c>
      <c r="P5" s="69">
        <v>0</v>
      </c>
    </row>
    <row r="6" spans="1:242" s="69" customFormat="1" x14ac:dyDescent="0.3">
      <c r="A6" s="79" t="s">
        <v>42</v>
      </c>
      <c r="B6" s="68">
        <v>0</v>
      </c>
      <c r="C6" s="68">
        <v>0.19191063546715198</v>
      </c>
      <c r="D6" s="68">
        <v>0.23597208938560757</v>
      </c>
      <c r="E6" s="68">
        <v>0.25011068259246128</v>
      </c>
      <c r="F6" s="68">
        <v>0.24951987510998264</v>
      </c>
      <c r="G6" s="68">
        <v>0.24985261573170944</v>
      </c>
      <c r="H6" s="68">
        <v>0.23318074432130542</v>
      </c>
      <c r="I6" s="68">
        <v>0.19583520285994227</v>
      </c>
      <c r="J6" s="68">
        <v>0.18585867550129404</v>
      </c>
      <c r="K6" s="68">
        <v>0.16061500615422261</v>
      </c>
      <c r="L6" s="68">
        <v>6.1245184176083593E-2</v>
      </c>
      <c r="M6" s="69">
        <v>0</v>
      </c>
      <c r="N6" s="69">
        <v>0</v>
      </c>
      <c r="O6" s="69">
        <v>0</v>
      </c>
      <c r="P6" s="69">
        <v>0</v>
      </c>
    </row>
    <row r="7" spans="1:242" s="69" customFormat="1" x14ac:dyDescent="0.3">
      <c r="A7" s="79" t="s">
        <v>43</v>
      </c>
      <c r="B7" s="68">
        <v>0</v>
      </c>
      <c r="C7" s="68">
        <v>0</v>
      </c>
      <c r="D7" s="68">
        <v>6.2149962540813918E-2</v>
      </c>
      <c r="E7" s="68">
        <v>0.11582787196425129</v>
      </c>
      <c r="F7" s="68">
        <v>0.14276743831875641</v>
      </c>
      <c r="G7" s="68">
        <v>0.16365308078316868</v>
      </c>
      <c r="H7" s="68">
        <v>0.16586256388966725</v>
      </c>
      <c r="I7" s="68">
        <v>0.12369244773745421</v>
      </c>
      <c r="J7" s="68">
        <v>9.355690818874586E-2</v>
      </c>
      <c r="K7" s="68">
        <v>4.105244167472101E-2</v>
      </c>
      <c r="L7" s="68">
        <v>0</v>
      </c>
      <c r="M7" s="69">
        <v>0</v>
      </c>
      <c r="N7" s="69">
        <v>0</v>
      </c>
      <c r="O7" s="69">
        <v>0</v>
      </c>
      <c r="P7" s="69">
        <v>0</v>
      </c>
    </row>
    <row r="8" spans="1:242" s="69" customFormat="1" x14ac:dyDescent="0.3">
      <c r="A8" s="79" t="s">
        <v>41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  <c r="G8" s="68">
        <v>0</v>
      </c>
      <c r="H8" s="68">
        <v>0</v>
      </c>
      <c r="I8" s="68">
        <v>0</v>
      </c>
      <c r="J8" s="68">
        <v>0.11043203155186576</v>
      </c>
      <c r="K8" s="68">
        <v>0.20450151220920829</v>
      </c>
      <c r="L8" s="68">
        <v>0.21922841742121779</v>
      </c>
      <c r="M8" s="69">
        <v>0.1540701702553012</v>
      </c>
      <c r="N8" s="69">
        <v>2.7651310223487796E-2</v>
      </c>
      <c r="O8" s="69">
        <v>0</v>
      </c>
      <c r="P8" s="69">
        <v>0</v>
      </c>
    </row>
    <row r="9" spans="1:242" x14ac:dyDescent="0.3">
      <c r="A9" s="66" t="s">
        <v>30</v>
      </c>
      <c r="B9" s="68">
        <v>2.9802322346061949E-8</v>
      </c>
      <c r="C9" s="68">
        <v>0</v>
      </c>
      <c r="D9" s="68">
        <v>0</v>
      </c>
      <c r="E9" s="68">
        <v>0</v>
      </c>
      <c r="F9" s="68">
        <v>0</v>
      </c>
      <c r="G9" s="68">
        <v>0</v>
      </c>
      <c r="H9" s="68">
        <v>0</v>
      </c>
      <c r="I9" s="68">
        <v>0</v>
      </c>
      <c r="J9" s="68">
        <v>0</v>
      </c>
      <c r="K9" s="68">
        <v>0</v>
      </c>
      <c r="L9" s="68">
        <v>0</v>
      </c>
      <c r="M9" s="69">
        <v>0</v>
      </c>
      <c r="N9" s="69">
        <v>0</v>
      </c>
      <c r="O9" s="69">
        <v>0</v>
      </c>
      <c r="P9" s="69">
        <v>0</v>
      </c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</row>
    <row r="10" spans="1:242" x14ac:dyDescent="0.3">
      <c r="A10" s="66" t="s">
        <v>28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  <c r="G10" s="68">
        <v>0</v>
      </c>
      <c r="H10" s="68">
        <v>3.7938347606971734E-2</v>
      </c>
      <c r="I10" s="68">
        <v>0.12514203347379305</v>
      </c>
      <c r="J10" s="68">
        <v>0.19469456991535666</v>
      </c>
      <c r="K10" s="68">
        <v>0.26641265994486102</v>
      </c>
      <c r="L10" s="68">
        <v>0.35608461137603847</v>
      </c>
      <c r="M10" s="69">
        <v>0.47993364321996029</v>
      </c>
      <c r="N10" s="69">
        <v>0.6282648942025536</v>
      </c>
      <c r="O10" s="69">
        <v>0.80952395711552261</v>
      </c>
      <c r="P10" s="69">
        <v>1</v>
      </c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</row>
    <row r="11" spans="1:242" x14ac:dyDescent="0.3">
      <c r="A11" s="66" t="s">
        <v>37</v>
      </c>
      <c r="B11" s="68">
        <v>0</v>
      </c>
      <c r="C11" s="68">
        <v>0</v>
      </c>
      <c r="D11" s="68">
        <v>0</v>
      </c>
      <c r="E11" s="68">
        <v>4.4738897294425754E-2</v>
      </c>
      <c r="F11" s="68">
        <v>0.11877840919868637</v>
      </c>
      <c r="G11" s="68">
        <v>0.16506978751925083</v>
      </c>
      <c r="H11" s="68">
        <v>0.20204489603550307</v>
      </c>
      <c r="I11" s="68">
        <v>0.24509306952622573</v>
      </c>
      <c r="J11" s="68">
        <v>0.28574010074360745</v>
      </c>
      <c r="K11" s="68">
        <v>0.32741838001698681</v>
      </c>
      <c r="L11" s="68">
        <v>0.36344178702666013</v>
      </c>
      <c r="M11" s="69">
        <v>0.36599618652473831</v>
      </c>
      <c r="N11" s="69">
        <v>0.34408379557395857</v>
      </c>
      <c r="O11" s="69">
        <v>0.19047604288447734</v>
      </c>
      <c r="P11" s="69">
        <v>0</v>
      </c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</row>
    <row r="12" spans="1:242" x14ac:dyDescent="0.3">
      <c r="A12" s="66" t="s">
        <v>20</v>
      </c>
      <c r="B12" s="68">
        <v>0.50907004881006668</v>
      </c>
      <c r="C12" s="68">
        <v>0.29342193680394663</v>
      </c>
      <c r="D12" s="68">
        <v>0.22320194707580729</v>
      </c>
      <c r="E12" s="68">
        <v>0.16787358837346289</v>
      </c>
      <c r="F12" s="68">
        <v>0.12658116218122184</v>
      </c>
      <c r="G12" s="68">
        <v>6.2574304287725716E-2</v>
      </c>
      <c r="H12" s="68">
        <v>0</v>
      </c>
      <c r="I12" s="68">
        <v>0</v>
      </c>
      <c r="J12" s="68">
        <v>0</v>
      </c>
      <c r="K12" s="68">
        <v>0</v>
      </c>
      <c r="L12" s="68">
        <v>0</v>
      </c>
      <c r="M12" s="69">
        <v>0</v>
      </c>
      <c r="N12" s="69">
        <v>0</v>
      </c>
      <c r="O12" s="69">
        <v>0</v>
      </c>
      <c r="P12" s="69">
        <v>0</v>
      </c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</row>
    <row r="13" spans="1:242" x14ac:dyDescent="0.3">
      <c r="A13" s="66" t="s">
        <v>21</v>
      </c>
      <c r="B13" s="68">
        <v>0.49092992030631422</v>
      </c>
      <c r="C13" s="68">
        <v>0.50330779836804029</v>
      </c>
      <c r="D13" s="68">
        <v>0.37183187434509096</v>
      </c>
      <c r="E13" s="68">
        <v>0.25840597598916887</v>
      </c>
      <c r="F13" s="68">
        <v>0.15503369197477745</v>
      </c>
      <c r="G13" s="68">
        <v>4.4139953501301163E-2</v>
      </c>
      <c r="H13" s="68">
        <v>0</v>
      </c>
      <c r="I13" s="68">
        <v>0</v>
      </c>
      <c r="J13" s="68">
        <v>0</v>
      </c>
      <c r="K13" s="68">
        <v>0</v>
      </c>
      <c r="L13" s="68">
        <v>0</v>
      </c>
      <c r="M13" s="68">
        <v>0</v>
      </c>
      <c r="N13" s="68">
        <v>0</v>
      </c>
      <c r="O13" s="68">
        <v>0</v>
      </c>
      <c r="P13" s="68">
        <v>0</v>
      </c>
      <c r="Q13" s="68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</row>
    <row r="14" spans="1:242" x14ac:dyDescent="0.3">
      <c r="A14" s="66" t="s">
        <v>38</v>
      </c>
      <c r="B14" s="68">
        <v>0</v>
      </c>
      <c r="C14" s="68">
        <v>0</v>
      </c>
      <c r="D14" s="68">
        <v>0</v>
      </c>
      <c r="E14" s="68">
        <v>0</v>
      </c>
      <c r="F14" s="68">
        <v>0</v>
      </c>
      <c r="G14" s="68">
        <v>7.4849263652521328E-2</v>
      </c>
      <c r="H14" s="68">
        <v>0.10445741117113086</v>
      </c>
      <c r="I14" s="68">
        <v>5.4503996445751303E-2</v>
      </c>
      <c r="J14" s="68">
        <v>1.8723964505786235E-2</v>
      </c>
      <c r="K14" s="68">
        <v>0</v>
      </c>
      <c r="L14" s="68">
        <v>0</v>
      </c>
      <c r="M14" s="69">
        <v>0</v>
      </c>
      <c r="N14" s="69">
        <v>0</v>
      </c>
      <c r="O14" s="69">
        <v>0</v>
      </c>
      <c r="P14" s="69">
        <v>0</v>
      </c>
      <c r="Q14" s="69"/>
      <c r="R14" s="69"/>
      <c r="S14" s="69"/>
      <c r="T14" s="69"/>
      <c r="U14" s="69"/>
      <c r="V14" s="69"/>
      <c r="W14" s="69"/>
    </row>
    <row r="15" spans="1:242" x14ac:dyDescent="0.3">
      <c r="A15" s="66" t="s">
        <v>31</v>
      </c>
      <c r="B15" s="68">
        <v>0</v>
      </c>
      <c r="C15" s="68">
        <v>0</v>
      </c>
      <c r="D15" s="68">
        <v>0</v>
      </c>
      <c r="E15" s="68">
        <v>0</v>
      </c>
      <c r="F15" s="68">
        <v>0</v>
      </c>
      <c r="G15" s="68">
        <v>0</v>
      </c>
      <c r="H15" s="68">
        <v>0</v>
      </c>
      <c r="I15" s="68">
        <v>0</v>
      </c>
      <c r="J15" s="68">
        <v>0</v>
      </c>
      <c r="K15" s="68">
        <v>0</v>
      </c>
      <c r="L15" s="68">
        <v>0</v>
      </c>
      <c r="M15" s="69">
        <v>0</v>
      </c>
      <c r="N15" s="69">
        <v>0</v>
      </c>
      <c r="O15" s="69">
        <v>0</v>
      </c>
      <c r="P15" s="69">
        <v>0</v>
      </c>
      <c r="Q15" s="69"/>
      <c r="R15" s="69"/>
      <c r="S15" s="69"/>
      <c r="T15" s="69"/>
      <c r="U15" s="69"/>
      <c r="V15" s="69"/>
      <c r="W15" s="69"/>
    </row>
    <row r="16" spans="1:242" x14ac:dyDescent="0.3">
      <c r="A16" s="66" t="s">
        <v>39</v>
      </c>
      <c r="B16" s="68">
        <v>0</v>
      </c>
      <c r="C16" s="68">
        <v>0</v>
      </c>
      <c r="D16" s="68">
        <v>0</v>
      </c>
      <c r="E16" s="68">
        <v>0</v>
      </c>
      <c r="F16" s="68">
        <v>0</v>
      </c>
      <c r="G16" s="68">
        <v>0</v>
      </c>
      <c r="H16" s="68">
        <v>0</v>
      </c>
      <c r="I16" s="68">
        <v>0</v>
      </c>
      <c r="J16" s="68">
        <v>0</v>
      </c>
      <c r="K16" s="68">
        <v>0</v>
      </c>
      <c r="L16" s="68">
        <v>0</v>
      </c>
      <c r="M16" s="69">
        <v>0</v>
      </c>
      <c r="N16" s="69">
        <v>0</v>
      </c>
      <c r="O16" s="69">
        <v>0</v>
      </c>
      <c r="P16" s="69">
        <v>0</v>
      </c>
      <c r="Q16" s="69"/>
      <c r="R16" s="69"/>
      <c r="S16" s="69"/>
      <c r="T16" s="69"/>
      <c r="U16" s="69"/>
      <c r="V16" s="69"/>
      <c r="W16" s="69"/>
    </row>
    <row r="17" spans="1:23" x14ac:dyDescent="0.3">
      <c r="A17" s="66" t="s">
        <v>22</v>
      </c>
      <c r="B17" s="68">
        <v>0</v>
      </c>
      <c r="C17" s="68">
        <v>0</v>
      </c>
      <c r="D17" s="68">
        <v>0</v>
      </c>
      <c r="E17" s="68">
        <v>0</v>
      </c>
      <c r="F17" s="68">
        <v>0</v>
      </c>
      <c r="G17" s="68">
        <v>0</v>
      </c>
      <c r="H17" s="68">
        <v>0</v>
      </c>
      <c r="I17" s="68">
        <v>0</v>
      </c>
      <c r="J17" s="68">
        <v>0</v>
      </c>
      <c r="K17" s="68">
        <v>0</v>
      </c>
      <c r="L17" s="68">
        <v>0</v>
      </c>
      <c r="M17" s="69">
        <v>0</v>
      </c>
      <c r="N17" s="69">
        <v>0</v>
      </c>
      <c r="O17" s="69">
        <v>0</v>
      </c>
      <c r="P17" s="69">
        <v>0</v>
      </c>
      <c r="Q17" s="69"/>
      <c r="R17" s="69"/>
      <c r="S17" s="69"/>
      <c r="T17" s="69"/>
      <c r="U17" s="69"/>
      <c r="V17" s="69"/>
      <c r="W17" s="69"/>
    </row>
    <row r="18" spans="1:23" x14ac:dyDescent="0.3">
      <c r="A18" s="66" t="s">
        <v>40</v>
      </c>
      <c r="B18" s="68">
        <v>0</v>
      </c>
      <c r="C18" s="68">
        <v>0</v>
      </c>
      <c r="D18" s="68">
        <v>0</v>
      </c>
      <c r="E18" s="68">
        <v>0</v>
      </c>
      <c r="F18" s="68">
        <v>0</v>
      </c>
      <c r="G18" s="68">
        <v>0</v>
      </c>
      <c r="H18" s="68">
        <v>0</v>
      </c>
      <c r="I18" s="68">
        <v>0</v>
      </c>
      <c r="J18" s="68">
        <v>0</v>
      </c>
      <c r="K18" s="68">
        <v>0</v>
      </c>
      <c r="L18" s="68">
        <v>0</v>
      </c>
      <c r="M18" s="69">
        <v>0</v>
      </c>
      <c r="N18" s="69">
        <v>0</v>
      </c>
      <c r="O18" s="69">
        <v>0</v>
      </c>
      <c r="P18" s="69">
        <v>0</v>
      </c>
      <c r="Q18" s="69"/>
      <c r="R18" s="69"/>
      <c r="S18" s="69"/>
      <c r="T18" s="69"/>
      <c r="U18" s="69"/>
      <c r="V18" s="69"/>
      <c r="W18" s="69"/>
    </row>
    <row r="19" spans="1:23" x14ac:dyDescent="0.3"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</row>
    <row r="20" spans="1:23" x14ac:dyDescent="0.3">
      <c r="B20" s="69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69"/>
      <c r="R20" s="69"/>
      <c r="S20" s="69"/>
      <c r="T20" s="69"/>
      <c r="U20" s="69"/>
      <c r="V20" s="69"/>
      <c r="W20" s="69"/>
    </row>
    <row r="21" spans="1:23" x14ac:dyDescent="0.3"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</row>
    <row r="22" spans="1:23" x14ac:dyDescent="0.3"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</row>
    <row r="23" spans="1:23" x14ac:dyDescent="0.3"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</row>
    <row r="24" spans="1:23" x14ac:dyDescent="0.3"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</row>
    <row r="25" spans="1:23" x14ac:dyDescent="0.3"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</row>
    <row r="26" spans="1:23" x14ac:dyDescent="0.3"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</row>
    <row r="40" spans="2:17" x14ac:dyDescent="0.3">
      <c r="N40" s="76"/>
      <c r="O40" s="76"/>
      <c r="P40" s="76"/>
      <c r="Q40" s="76"/>
    </row>
    <row r="41" spans="2:17" x14ac:dyDescent="0.3">
      <c r="N41" s="76"/>
      <c r="O41" s="76"/>
      <c r="P41" s="76"/>
      <c r="Q41" s="76"/>
    </row>
    <row r="42" spans="2:17" x14ac:dyDescent="0.3">
      <c r="N42" s="76"/>
      <c r="O42" s="76"/>
      <c r="P42" s="76"/>
      <c r="Q42" s="76"/>
    </row>
    <row r="43" spans="2:17" x14ac:dyDescent="0.3">
      <c r="B43" s="69"/>
      <c r="C43" s="69"/>
      <c r="D43" s="69"/>
      <c r="E43" s="69"/>
      <c r="F43" s="69"/>
      <c r="G43" s="69"/>
      <c r="H43" s="69"/>
      <c r="I43" s="69"/>
      <c r="J43" s="69"/>
      <c r="K43" s="69"/>
      <c r="N43" s="76"/>
      <c r="O43" s="77"/>
      <c r="P43" s="78"/>
      <c r="Q43" s="76"/>
    </row>
    <row r="44" spans="2:17" x14ac:dyDescent="0.3">
      <c r="N44" s="76"/>
      <c r="O44" s="77"/>
      <c r="P44" s="77"/>
      <c r="Q44" s="76"/>
    </row>
    <row r="45" spans="2:17" x14ac:dyDescent="0.3">
      <c r="N45" s="76"/>
      <c r="O45" s="77"/>
      <c r="P45" s="77"/>
      <c r="Q45" s="76"/>
    </row>
    <row r="46" spans="2:17" x14ac:dyDescent="0.3">
      <c r="N46" s="76"/>
      <c r="O46" s="76"/>
      <c r="P46" s="76"/>
      <c r="Q46" s="76"/>
    </row>
    <row r="47" spans="2:17" x14ac:dyDescent="0.3">
      <c r="N47" s="76"/>
      <c r="O47" s="76"/>
      <c r="P47" s="76"/>
      <c r="Q47" s="76"/>
    </row>
    <row r="48" spans="2:17" x14ac:dyDescent="0.3">
      <c r="N48" s="76"/>
      <c r="O48" s="76"/>
      <c r="P48" s="76"/>
      <c r="Q48" s="76"/>
    </row>
    <row r="58" spans="1:16" ht="15.6" x14ac:dyDescent="0.3">
      <c r="A58" s="84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</row>
    <row r="59" spans="1:16" x14ac:dyDescent="0.3">
      <c r="A59" s="85"/>
    </row>
    <row r="63" spans="1:16" x14ac:dyDescent="0.3">
      <c r="B63" s="82"/>
      <c r="C63" s="82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</row>
    <row r="64" spans="1:16" x14ac:dyDescent="0.3"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</row>
    <row r="66" spans="1:16" x14ac:dyDescent="0.3">
      <c r="B66" s="82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</row>
    <row r="70" spans="1:16" x14ac:dyDescent="0.3">
      <c r="A70" s="75" t="s">
        <v>44</v>
      </c>
    </row>
    <row r="71" spans="1:16" x14ac:dyDescent="0.3">
      <c r="A71" s="93" t="str">
        <f>A5</f>
        <v>US Core RE</v>
      </c>
      <c r="B71" s="81">
        <f>IF(ROUND(B5,5)=0,-0.0005,B5)</f>
        <v>-5.0000000000000001E-4</v>
      </c>
      <c r="C71" s="81">
        <f t="shared" ref="C71:P71" si="0">IF(ROUND(C5,5)=0,-0.0005,C5)</f>
        <v>1.1359629360861077E-2</v>
      </c>
      <c r="D71" s="81">
        <f t="shared" si="0"/>
        <v>0.10684512665267995</v>
      </c>
      <c r="E71" s="81">
        <f t="shared" si="0"/>
        <v>0.16304298378622978</v>
      </c>
      <c r="F71" s="81">
        <f t="shared" si="0"/>
        <v>0.20732042321657496</v>
      </c>
      <c r="G71" s="81">
        <f t="shared" si="0"/>
        <v>0.23986119758591112</v>
      </c>
      <c r="H71" s="81">
        <f t="shared" si="0"/>
        <v>0.2565160369754213</v>
      </c>
      <c r="I71" s="81">
        <f t="shared" si="0"/>
        <v>0.25573324995683361</v>
      </c>
      <c r="J71" s="81">
        <f t="shared" si="0"/>
        <v>0.11099374959334399</v>
      </c>
      <c r="K71" s="81">
        <f t="shared" si="0"/>
        <v>-5.0000000000000001E-4</v>
      </c>
      <c r="L71" s="81">
        <f t="shared" si="0"/>
        <v>-5.0000000000000001E-4</v>
      </c>
      <c r="M71" s="81">
        <f t="shared" si="0"/>
        <v>-5.0000000000000001E-4</v>
      </c>
      <c r="N71" s="81">
        <f t="shared" si="0"/>
        <v>-5.0000000000000001E-4</v>
      </c>
      <c r="O71" s="81">
        <f t="shared" si="0"/>
        <v>-5.0000000000000001E-4</v>
      </c>
      <c r="P71" s="81">
        <f t="shared" si="0"/>
        <v>-5.0000000000000001E-4</v>
      </c>
    </row>
    <row r="72" spans="1:16" x14ac:dyDescent="0.3">
      <c r="A72" s="93" t="str">
        <f t="shared" ref="A72:A84" si="1">A6</f>
        <v>Euro Core RE</v>
      </c>
      <c r="B72" s="81">
        <f t="shared" ref="B72:P72" si="2">IF(ROUND(B6,5)=0,-0.0005,B6)</f>
        <v>-5.0000000000000001E-4</v>
      </c>
      <c r="C72" s="81">
        <f t="shared" si="2"/>
        <v>0.19191063546715198</v>
      </c>
      <c r="D72" s="81">
        <f t="shared" si="2"/>
        <v>0.23597208938560757</v>
      </c>
      <c r="E72" s="81">
        <f t="shared" si="2"/>
        <v>0.25011068259246128</v>
      </c>
      <c r="F72" s="81">
        <f t="shared" si="2"/>
        <v>0.24951987510998264</v>
      </c>
      <c r="G72" s="81">
        <f t="shared" si="2"/>
        <v>0.24985261573170944</v>
      </c>
      <c r="H72" s="81">
        <f t="shared" si="2"/>
        <v>0.23318074432130542</v>
      </c>
      <c r="I72" s="81">
        <f t="shared" si="2"/>
        <v>0.19583520285994227</v>
      </c>
      <c r="J72" s="81">
        <f t="shared" si="2"/>
        <v>0.18585867550129404</v>
      </c>
      <c r="K72" s="81">
        <f t="shared" si="2"/>
        <v>0.16061500615422261</v>
      </c>
      <c r="L72" s="81">
        <f t="shared" si="2"/>
        <v>6.1245184176083593E-2</v>
      </c>
      <c r="M72" s="81">
        <f t="shared" si="2"/>
        <v>-5.0000000000000001E-4</v>
      </c>
      <c r="N72" s="81">
        <f t="shared" si="2"/>
        <v>-5.0000000000000001E-4</v>
      </c>
      <c r="O72" s="81">
        <f t="shared" si="2"/>
        <v>-5.0000000000000001E-4</v>
      </c>
      <c r="P72" s="81">
        <f t="shared" si="2"/>
        <v>-5.0000000000000001E-4</v>
      </c>
    </row>
    <row r="73" spans="1:16" x14ac:dyDescent="0.3">
      <c r="A73" s="93" t="str">
        <f t="shared" si="1"/>
        <v>Asia Core RE</v>
      </c>
      <c r="B73" s="81">
        <f t="shared" ref="B73:P73" si="3">IF(ROUND(B7,5)=0,-0.0005,B7)</f>
        <v>-5.0000000000000001E-4</v>
      </c>
      <c r="C73" s="81">
        <f t="shared" si="3"/>
        <v>-5.0000000000000001E-4</v>
      </c>
      <c r="D73" s="81">
        <f t="shared" si="3"/>
        <v>6.2149962540813918E-2</v>
      </c>
      <c r="E73" s="81">
        <f t="shared" si="3"/>
        <v>0.11582787196425129</v>
      </c>
      <c r="F73" s="81">
        <f t="shared" si="3"/>
        <v>0.14276743831875641</v>
      </c>
      <c r="G73" s="81">
        <f t="shared" si="3"/>
        <v>0.16365308078316868</v>
      </c>
      <c r="H73" s="81">
        <f t="shared" si="3"/>
        <v>0.16586256388966725</v>
      </c>
      <c r="I73" s="81">
        <f t="shared" si="3"/>
        <v>0.12369244773745421</v>
      </c>
      <c r="J73" s="81">
        <f t="shared" si="3"/>
        <v>9.355690818874586E-2</v>
      </c>
      <c r="K73" s="81">
        <f t="shared" si="3"/>
        <v>4.105244167472101E-2</v>
      </c>
      <c r="L73" s="81">
        <f t="shared" si="3"/>
        <v>-5.0000000000000001E-4</v>
      </c>
      <c r="M73" s="81">
        <f t="shared" si="3"/>
        <v>-5.0000000000000001E-4</v>
      </c>
      <c r="N73" s="81">
        <f t="shared" si="3"/>
        <v>-5.0000000000000001E-4</v>
      </c>
      <c r="O73" s="81">
        <f t="shared" si="3"/>
        <v>-5.0000000000000001E-4</v>
      </c>
      <c r="P73" s="81">
        <f t="shared" si="3"/>
        <v>-5.0000000000000001E-4</v>
      </c>
    </row>
    <row r="74" spans="1:16" x14ac:dyDescent="0.3">
      <c r="A74" s="93" t="str">
        <f t="shared" si="1"/>
        <v>US Core+ RE</v>
      </c>
      <c r="B74" s="81">
        <f t="shared" ref="B74:P74" si="4">IF(ROUND(B8,5)=0,-0.0005,B8)</f>
        <v>-5.0000000000000001E-4</v>
      </c>
      <c r="C74" s="81">
        <f t="shared" si="4"/>
        <v>-5.0000000000000001E-4</v>
      </c>
      <c r="D74" s="81">
        <f t="shared" si="4"/>
        <v>-5.0000000000000001E-4</v>
      </c>
      <c r="E74" s="81">
        <f t="shared" si="4"/>
        <v>-5.0000000000000001E-4</v>
      </c>
      <c r="F74" s="81">
        <f t="shared" si="4"/>
        <v>-5.0000000000000001E-4</v>
      </c>
      <c r="G74" s="81">
        <f t="shared" si="4"/>
        <v>-5.0000000000000001E-4</v>
      </c>
      <c r="H74" s="81">
        <f t="shared" si="4"/>
        <v>-5.0000000000000001E-4</v>
      </c>
      <c r="I74" s="81">
        <f t="shared" si="4"/>
        <v>-5.0000000000000001E-4</v>
      </c>
      <c r="J74" s="81">
        <f t="shared" si="4"/>
        <v>0.11043203155186576</v>
      </c>
      <c r="K74" s="81">
        <f t="shared" si="4"/>
        <v>0.20450151220920829</v>
      </c>
      <c r="L74" s="81">
        <f t="shared" si="4"/>
        <v>0.21922841742121779</v>
      </c>
      <c r="M74" s="81">
        <f t="shared" si="4"/>
        <v>0.1540701702553012</v>
      </c>
      <c r="N74" s="81">
        <f t="shared" si="4"/>
        <v>2.7651310223487796E-2</v>
      </c>
      <c r="O74" s="81">
        <f t="shared" si="4"/>
        <v>-5.0000000000000001E-4</v>
      </c>
      <c r="P74" s="81">
        <f t="shared" si="4"/>
        <v>-5.0000000000000001E-4</v>
      </c>
    </row>
    <row r="75" spans="1:16" x14ac:dyDescent="0.3">
      <c r="A75" s="93" t="str">
        <f t="shared" si="1"/>
        <v>VA RE</v>
      </c>
      <c r="B75" s="81">
        <f t="shared" ref="B75:P75" si="5">IF(ROUND(B9,5)=0,-0.0005,B9)</f>
        <v>-5.0000000000000001E-4</v>
      </c>
      <c r="C75" s="81">
        <f t="shared" si="5"/>
        <v>-5.0000000000000001E-4</v>
      </c>
      <c r="D75" s="81">
        <f t="shared" si="5"/>
        <v>-5.0000000000000001E-4</v>
      </c>
      <c r="E75" s="81">
        <f t="shared" si="5"/>
        <v>-5.0000000000000001E-4</v>
      </c>
      <c r="F75" s="81">
        <f t="shared" si="5"/>
        <v>-5.0000000000000001E-4</v>
      </c>
      <c r="G75" s="81">
        <f t="shared" si="5"/>
        <v>-5.0000000000000001E-4</v>
      </c>
      <c r="H75" s="81">
        <f t="shared" si="5"/>
        <v>-5.0000000000000001E-4</v>
      </c>
      <c r="I75" s="81">
        <f t="shared" si="5"/>
        <v>-5.0000000000000001E-4</v>
      </c>
      <c r="J75" s="81">
        <f t="shared" si="5"/>
        <v>-5.0000000000000001E-4</v>
      </c>
      <c r="K75" s="81">
        <f t="shared" si="5"/>
        <v>-5.0000000000000001E-4</v>
      </c>
      <c r="L75" s="81">
        <f t="shared" si="5"/>
        <v>-5.0000000000000001E-4</v>
      </c>
      <c r="M75" s="81">
        <f t="shared" si="5"/>
        <v>-5.0000000000000001E-4</v>
      </c>
      <c r="N75" s="81">
        <f t="shared" si="5"/>
        <v>-5.0000000000000001E-4</v>
      </c>
      <c r="O75" s="81">
        <f t="shared" si="5"/>
        <v>-5.0000000000000001E-4</v>
      </c>
      <c r="P75" s="81">
        <f t="shared" si="5"/>
        <v>-5.0000000000000001E-4</v>
      </c>
    </row>
    <row r="76" spans="1:16" x14ac:dyDescent="0.3">
      <c r="A76" s="93" t="str">
        <f t="shared" si="1"/>
        <v>Opp RE</v>
      </c>
      <c r="B76" s="81">
        <f t="shared" ref="B76:P76" si="6">IF(ROUND(B10,5)=0,-0.0005,B10)</f>
        <v>-5.0000000000000001E-4</v>
      </c>
      <c r="C76" s="81">
        <f t="shared" si="6"/>
        <v>-5.0000000000000001E-4</v>
      </c>
      <c r="D76" s="81">
        <f t="shared" si="6"/>
        <v>-5.0000000000000001E-4</v>
      </c>
      <c r="E76" s="81">
        <f t="shared" si="6"/>
        <v>-5.0000000000000001E-4</v>
      </c>
      <c r="F76" s="81">
        <f t="shared" si="6"/>
        <v>-5.0000000000000001E-4</v>
      </c>
      <c r="G76" s="81">
        <f t="shared" si="6"/>
        <v>-5.0000000000000001E-4</v>
      </c>
      <c r="H76" s="81">
        <f t="shared" si="6"/>
        <v>3.7938347606971734E-2</v>
      </c>
      <c r="I76" s="81">
        <f t="shared" si="6"/>
        <v>0.12514203347379305</v>
      </c>
      <c r="J76" s="81">
        <f t="shared" si="6"/>
        <v>0.19469456991535666</v>
      </c>
      <c r="K76" s="81">
        <f t="shared" si="6"/>
        <v>0.26641265994486102</v>
      </c>
      <c r="L76" s="81">
        <f t="shared" si="6"/>
        <v>0.35608461137603847</v>
      </c>
      <c r="M76" s="81">
        <f t="shared" si="6"/>
        <v>0.47993364321996029</v>
      </c>
      <c r="N76" s="81">
        <f t="shared" si="6"/>
        <v>0.6282648942025536</v>
      </c>
      <c r="O76" s="81">
        <f t="shared" si="6"/>
        <v>0.80952395711552261</v>
      </c>
      <c r="P76" s="81">
        <f t="shared" si="6"/>
        <v>1</v>
      </c>
    </row>
    <row r="77" spans="1:16" x14ac:dyDescent="0.3">
      <c r="A77" s="93" t="str">
        <f t="shared" si="1"/>
        <v>Infra</v>
      </c>
      <c r="B77" s="81">
        <f t="shared" ref="B77:P77" si="7">IF(ROUND(B11,5)=0,-0.0005,B11)</f>
        <v>-5.0000000000000001E-4</v>
      </c>
      <c r="C77" s="81">
        <f t="shared" si="7"/>
        <v>-5.0000000000000001E-4</v>
      </c>
      <c r="D77" s="81">
        <f t="shared" si="7"/>
        <v>-5.0000000000000001E-4</v>
      </c>
      <c r="E77" s="81">
        <f t="shared" si="7"/>
        <v>4.4738897294425754E-2</v>
      </c>
      <c r="F77" s="81">
        <f t="shared" si="7"/>
        <v>0.11877840919868637</v>
      </c>
      <c r="G77" s="81">
        <f t="shared" si="7"/>
        <v>0.16506978751925083</v>
      </c>
      <c r="H77" s="81">
        <f t="shared" si="7"/>
        <v>0.20204489603550307</v>
      </c>
      <c r="I77" s="81">
        <f t="shared" si="7"/>
        <v>0.24509306952622573</v>
      </c>
      <c r="J77" s="81">
        <f t="shared" si="7"/>
        <v>0.28574010074360745</v>
      </c>
      <c r="K77" s="81">
        <f t="shared" si="7"/>
        <v>0.32741838001698681</v>
      </c>
      <c r="L77" s="81">
        <f t="shared" si="7"/>
        <v>0.36344178702666013</v>
      </c>
      <c r="M77" s="81">
        <f t="shared" si="7"/>
        <v>0.36599618652473831</v>
      </c>
      <c r="N77" s="81">
        <f t="shared" si="7"/>
        <v>0.34408379557395857</v>
      </c>
      <c r="O77" s="81">
        <f t="shared" si="7"/>
        <v>0.19047604288447734</v>
      </c>
      <c r="P77" s="81">
        <f t="shared" si="7"/>
        <v>-5.0000000000000001E-4</v>
      </c>
    </row>
    <row r="78" spans="1:16" x14ac:dyDescent="0.3">
      <c r="A78" s="93" t="str">
        <f t="shared" si="1"/>
        <v>Timberland</v>
      </c>
      <c r="B78" s="81">
        <f t="shared" ref="B78:P78" si="8">IF(ROUND(B12,5)=0,-0.0005,B12)</f>
        <v>0.50907004881006668</v>
      </c>
      <c r="C78" s="81">
        <f t="shared" si="8"/>
        <v>0.29342193680394663</v>
      </c>
      <c r="D78" s="81">
        <f t="shared" si="8"/>
        <v>0.22320194707580729</v>
      </c>
      <c r="E78" s="81">
        <f t="shared" si="8"/>
        <v>0.16787358837346289</v>
      </c>
      <c r="F78" s="81">
        <f t="shared" si="8"/>
        <v>0.12658116218122184</v>
      </c>
      <c r="G78" s="81">
        <f t="shared" si="8"/>
        <v>6.2574304287725716E-2</v>
      </c>
      <c r="H78" s="81">
        <f t="shared" si="8"/>
        <v>-5.0000000000000001E-4</v>
      </c>
      <c r="I78" s="81">
        <f t="shared" si="8"/>
        <v>-5.0000000000000001E-4</v>
      </c>
      <c r="J78" s="81">
        <f t="shared" si="8"/>
        <v>-5.0000000000000001E-4</v>
      </c>
      <c r="K78" s="81">
        <f t="shared" si="8"/>
        <v>-5.0000000000000001E-4</v>
      </c>
      <c r="L78" s="81">
        <f t="shared" si="8"/>
        <v>-5.0000000000000001E-4</v>
      </c>
      <c r="M78" s="81">
        <f t="shared" si="8"/>
        <v>-5.0000000000000001E-4</v>
      </c>
      <c r="N78" s="81">
        <f t="shared" si="8"/>
        <v>-5.0000000000000001E-4</v>
      </c>
      <c r="O78" s="81">
        <f t="shared" si="8"/>
        <v>-5.0000000000000001E-4</v>
      </c>
      <c r="P78" s="81">
        <f t="shared" si="8"/>
        <v>-5.0000000000000001E-4</v>
      </c>
    </row>
    <row r="79" spans="1:16" x14ac:dyDescent="0.3">
      <c r="A79" s="93" t="str">
        <f t="shared" si="1"/>
        <v>Row Crops</v>
      </c>
      <c r="B79" s="81">
        <f t="shared" ref="B79:P79" si="9">IF(ROUND(B13,5)=0,-0.0005,B13)</f>
        <v>0.49092992030631422</v>
      </c>
      <c r="C79" s="81">
        <f t="shared" si="9"/>
        <v>0.50330779836804029</v>
      </c>
      <c r="D79" s="81">
        <f t="shared" si="9"/>
        <v>0.37183187434509096</v>
      </c>
      <c r="E79" s="81">
        <f t="shared" si="9"/>
        <v>0.25840597598916887</v>
      </c>
      <c r="F79" s="81">
        <f t="shared" si="9"/>
        <v>0.15503369197477745</v>
      </c>
      <c r="G79" s="81">
        <f t="shared" si="9"/>
        <v>4.4139953501301163E-2</v>
      </c>
      <c r="H79" s="81">
        <f t="shared" si="9"/>
        <v>-5.0000000000000001E-4</v>
      </c>
      <c r="I79" s="81">
        <f t="shared" si="9"/>
        <v>-5.0000000000000001E-4</v>
      </c>
      <c r="J79" s="81">
        <f t="shared" si="9"/>
        <v>-5.0000000000000001E-4</v>
      </c>
      <c r="K79" s="81">
        <f t="shared" si="9"/>
        <v>-5.0000000000000001E-4</v>
      </c>
      <c r="L79" s="81">
        <f t="shared" si="9"/>
        <v>-5.0000000000000001E-4</v>
      </c>
      <c r="M79" s="81">
        <f t="shared" si="9"/>
        <v>-5.0000000000000001E-4</v>
      </c>
      <c r="N79" s="81">
        <f t="shared" si="9"/>
        <v>-5.0000000000000001E-4</v>
      </c>
      <c r="O79" s="81">
        <f t="shared" si="9"/>
        <v>-5.0000000000000001E-4</v>
      </c>
      <c r="P79" s="81">
        <f t="shared" si="9"/>
        <v>-5.0000000000000001E-4</v>
      </c>
    </row>
    <row r="80" spans="1:16" x14ac:dyDescent="0.3">
      <c r="A80" s="93" t="str">
        <f t="shared" si="1"/>
        <v>Perm Crops</v>
      </c>
      <c r="B80" s="81">
        <f t="shared" ref="B80:P80" si="10">IF(ROUND(B14,5)=0,-0.0005,B14)</f>
        <v>-5.0000000000000001E-4</v>
      </c>
      <c r="C80" s="81">
        <f t="shared" si="10"/>
        <v>-5.0000000000000001E-4</v>
      </c>
      <c r="D80" s="81">
        <f t="shared" si="10"/>
        <v>-5.0000000000000001E-4</v>
      </c>
      <c r="E80" s="81">
        <f t="shared" si="10"/>
        <v>-5.0000000000000001E-4</v>
      </c>
      <c r="F80" s="81">
        <f t="shared" si="10"/>
        <v>-5.0000000000000001E-4</v>
      </c>
      <c r="G80" s="81">
        <f t="shared" si="10"/>
        <v>7.4849263652521328E-2</v>
      </c>
      <c r="H80" s="81">
        <f t="shared" si="10"/>
        <v>0.10445741117113086</v>
      </c>
      <c r="I80" s="81">
        <f t="shared" si="10"/>
        <v>5.4503996445751303E-2</v>
      </c>
      <c r="J80" s="81">
        <f t="shared" si="10"/>
        <v>1.8723964505786235E-2</v>
      </c>
      <c r="K80" s="81">
        <f t="shared" si="10"/>
        <v>-5.0000000000000001E-4</v>
      </c>
      <c r="L80" s="81">
        <f t="shared" si="10"/>
        <v>-5.0000000000000001E-4</v>
      </c>
      <c r="M80" s="81">
        <f t="shared" si="10"/>
        <v>-5.0000000000000001E-4</v>
      </c>
      <c r="N80" s="81">
        <f t="shared" si="10"/>
        <v>-5.0000000000000001E-4</v>
      </c>
      <c r="O80" s="81">
        <f t="shared" si="10"/>
        <v>-5.0000000000000001E-4</v>
      </c>
      <c r="P80" s="81">
        <f t="shared" si="10"/>
        <v>-5.0000000000000001E-4</v>
      </c>
    </row>
    <row r="81" spans="1:16" x14ac:dyDescent="0.3">
      <c r="A81" s="93" t="str">
        <f t="shared" si="1"/>
        <v>REITs</v>
      </c>
      <c r="B81" s="81">
        <f t="shared" ref="B81:P81" si="11">IF(ROUND(B15,5)=0,-0.0005,B15)</f>
        <v>-5.0000000000000001E-4</v>
      </c>
      <c r="C81" s="81">
        <f t="shared" si="11"/>
        <v>-5.0000000000000001E-4</v>
      </c>
      <c r="D81" s="81">
        <f t="shared" si="11"/>
        <v>-5.0000000000000001E-4</v>
      </c>
      <c r="E81" s="81">
        <f t="shared" si="11"/>
        <v>-5.0000000000000001E-4</v>
      </c>
      <c r="F81" s="81">
        <f t="shared" si="11"/>
        <v>-5.0000000000000001E-4</v>
      </c>
      <c r="G81" s="81">
        <f t="shared" si="11"/>
        <v>-5.0000000000000001E-4</v>
      </c>
      <c r="H81" s="81">
        <f t="shared" si="11"/>
        <v>-5.0000000000000001E-4</v>
      </c>
      <c r="I81" s="81">
        <f t="shared" si="11"/>
        <v>-5.0000000000000001E-4</v>
      </c>
      <c r="J81" s="81">
        <f t="shared" si="11"/>
        <v>-5.0000000000000001E-4</v>
      </c>
      <c r="K81" s="81">
        <f t="shared" si="11"/>
        <v>-5.0000000000000001E-4</v>
      </c>
      <c r="L81" s="81">
        <f t="shared" si="11"/>
        <v>-5.0000000000000001E-4</v>
      </c>
      <c r="M81" s="81">
        <f t="shared" si="11"/>
        <v>-5.0000000000000001E-4</v>
      </c>
      <c r="N81" s="81">
        <f t="shared" si="11"/>
        <v>-5.0000000000000001E-4</v>
      </c>
      <c r="O81" s="81">
        <f t="shared" si="11"/>
        <v>-5.0000000000000001E-4</v>
      </c>
      <c r="P81" s="81">
        <f t="shared" si="11"/>
        <v>-5.0000000000000001E-4</v>
      </c>
    </row>
    <row r="82" spans="1:16" x14ac:dyDescent="0.3">
      <c r="A82" s="93" t="str">
        <f t="shared" si="1"/>
        <v>US Public Eq</v>
      </c>
      <c r="B82" s="81">
        <f t="shared" ref="B82:P82" si="12">IF(ROUND(B16,5)=0,-0.0005,B16)</f>
        <v>-5.0000000000000001E-4</v>
      </c>
      <c r="C82" s="81">
        <f t="shared" si="12"/>
        <v>-5.0000000000000001E-4</v>
      </c>
      <c r="D82" s="81">
        <f t="shared" si="12"/>
        <v>-5.0000000000000001E-4</v>
      </c>
      <c r="E82" s="81">
        <f t="shared" si="12"/>
        <v>-5.0000000000000001E-4</v>
      </c>
      <c r="F82" s="81">
        <f t="shared" si="12"/>
        <v>-5.0000000000000001E-4</v>
      </c>
      <c r="G82" s="81">
        <f t="shared" si="12"/>
        <v>-5.0000000000000001E-4</v>
      </c>
      <c r="H82" s="81">
        <f t="shared" si="12"/>
        <v>-5.0000000000000001E-4</v>
      </c>
      <c r="I82" s="81">
        <f t="shared" si="12"/>
        <v>-5.0000000000000001E-4</v>
      </c>
      <c r="J82" s="81">
        <f t="shared" si="12"/>
        <v>-5.0000000000000001E-4</v>
      </c>
      <c r="K82" s="81">
        <f t="shared" si="12"/>
        <v>-5.0000000000000001E-4</v>
      </c>
      <c r="L82" s="81">
        <f t="shared" si="12"/>
        <v>-5.0000000000000001E-4</v>
      </c>
      <c r="M82" s="81">
        <f t="shared" si="12"/>
        <v>-5.0000000000000001E-4</v>
      </c>
      <c r="N82" s="81">
        <f t="shared" si="12"/>
        <v>-5.0000000000000001E-4</v>
      </c>
      <c r="O82" s="81">
        <f t="shared" si="12"/>
        <v>-5.0000000000000001E-4</v>
      </c>
      <c r="P82" s="81">
        <f t="shared" si="12"/>
        <v>-5.0000000000000001E-4</v>
      </c>
    </row>
    <row r="83" spans="1:16" x14ac:dyDescent="0.3">
      <c r="A83" s="93" t="str">
        <f t="shared" si="1"/>
        <v>Fixed Income</v>
      </c>
      <c r="B83" s="81">
        <f t="shared" ref="B83:P83" si="13">IF(ROUND(B17,5)=0,-0.0005,B17)</f>
        <v>-5.0000000000000001E-4</v>
      </c>
      <c r="C83" s="81">
        <f t="shared" si="13"/>
        <v>-5.0000000000000001E-4</v>
      </c>
      <c r="D83" s="81">
        <f t="shared" si="13"/>
        <v>-5.0000000000000001E-4</v>
      </c>
      <c r="E83" s="81">
        <f t="shared" si="13"/>
        <v>-5.0000000000000001E-4</v>
      </c>
      <c r="F83" s="81">
        <f t="shared" si="13"/>
        <v>-5.0000000000000001E-4</v>
      </c>
      <c r="G83" s="81">
        <f t="shared" si="13"/>
        <v>-5.0000000000000001E-4</v>
      </c>
      <c r="H83" s="81">
        <f t="shared" si="13"/>
        <v>-5.0000000000000001E-4</v>
      </c>
      <c r="I83" s="81">
        <f t="shared" si="13"/>
        <v>-5.0000000000000001E-4</v>
      </c>
      <c r="J83" s="81">
        <f t="shared" si="13"/>
        <v>-5.0000000000000001E-4</v>
      </c>
      <c r="K83" s="81">
        <f t="shared" si="13"/>
        <v>-5.0000000000000001E-4</v>
      </c>
      <c r="L83" s="81">
        <f t="shared" si="13"/>
        <v>-5.0000000000000001E-4</v>
      </c>
      <c r="M83" s="81">
        <f t="shared" si="13"/>
        <v>-5.0000000000000001E-4</v>
      </c>
      <c r="N83" s="81">
        <f t="shared" si="13"/>
        <v>-5.0000000000000001E-4</v>
      </c>
      <c r="O83" s="81">
        <f t="shared" si="13"/>
        <v>-5.0000000000000001E-4</v>
      </c>
      <c r="P83" s="81">
        <f t="shared" si="13"/>
        <v>-5.0000000000000001E-4</v>
      </c>
    </row>
    <row r="84" spans="1:16" x14ac:dyDescent="0.3">
      <c r="A84" s="93" t="str">
        <f t="shared" si="1"/>
        <v>NCPREC</v>
      </c>
      <c r="B84" s="81">
        <f t="shared" ref="B84:P84" si="14">IF(ROUND(B18,5)=0,-0.0005,B18)</f>
        <v>-5.0000000000000001E-4</v>
      </c>
      <c r="C84" s="81">
        <f t="shared" si="14"/>
        <v>-5.0000000000000001E-4</v>
      </c>
      <c r="D84" s="81">
        <f t="shared" si="14"/>
        <v>-5.0000000000000001E-4</v>
      </c>
      <c r="E84" s="81">
        <f t="shared" si="14"/>
        <v>-5.0000000000000001E-4</v>
      </c>
      <c r="F84" s="81">
        <f t="shared" si="14"/>
        <v>-5.0000000000000001E-4</v>
      </c>
      <c r="G84" s="81">
        <f t="shared" si="14"/>
        <v>-5.0000000000000001E-4</v>
      </c>
      <c r="H84" s="81">
        <f t="shared" si="14"/>
        <v>-5.0000000000000001E-4</v>
      </c>
      <c r="I84" s="81">
        <f t="shared" si="14"/>
        <v>-5.0000000000000001E-4</v>
      </c>
      <c r="J84" s="81">
        <f t="shared" si="14"/>
        <v>-5.0000000000000001E-4</v>
      </c>
      <c r="K84" s="81">
        <f t="shared" si="14"/>
        <v>-5.0000000000000001E-4</v>
      </c>
      <c r="L84" s="81">
        <f t="shared" si="14"/>
        <v>-5.0000000000000001E-4</v>
      </c>
      <c r="M84" s="81">
        <f t="shared" si="14"/>
        <v>-5.0000000000000001E-4</v>
      </c>
      <c r="N84" s="81">
        <f t="shared" si="14"/>
        <v>-5.0000000000000001E-4</v>
      </c>
      <c r="O84" s="81">
        <f t="shared" si="14"/>
        <v>-5.0000000000000001E-4</v>
      </c>
      <c r="P84" s="81">
        <f t="shared" si="14"/>
        <v>-5.0000000000000001E-4</v>
      </c>
    </row>
    <row r="85" spans="1:16" x14ac:dyDescent="0.3">
      <c r="A85" s="93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</row>
    <row r="86" spans="1:16" x14ac:dyDescent="0.3">
      <c r="A86" s="93"/>
    </row>
    <row r="87" spans="1:16" x14ac:dyDescent="0.3">
      <c r="A87" s="93"/>
    </row>
    <row r="88" spans="1:16" x14ac:dyDescent="0.3">
      <c r="A88" s="93"/>
    </row>
    <row r="89" spans="1:16" x14ac:dyDescent="0.3">
      <c r="A89" s="93"/>
    </row>
    <row r="90" spans="1:16" x14ac:dyDescent="0.3">
      <c r="A90" s="93" t="s">
        <v>45</v>
      </c>
    </row>
    <row r="91" spans="1:16" x14ac:dyDescent="0.3">
      <c r="A91" s="93" t="str">
        <f>A71</f>
        <v>US Core RE</v>
      </c>
      <c r="B91" s="69">
        <f>B5*Input!$C3</f>
        <v>0</v>
      </c>
      <c r="C91" s="69">
        <f>C5*Input!$C3</f>
        <v>7.3837590845597005E-4</v>
      </c>
      <c r="D91" s="69">
        <f>D5*Input!$C3</f>
        <v>6.9449332324241974E-3</v>
      </c>
      <c r="E91" s="69">
        <f>E5*Input!$C3</f>
        <v>1.0597793946104935E-2</v>
      </c>
      <c r="F91" s="69">
        <f>F5*Input!$C3</f>
        <v>1.3475827509077373E-2</v>
      </c>
      <c r="G91" s="69">
        <f>G5*Input!$C3</f>
        <v>1.5590977843084223E-2</v>
      </c>
      <c r="H91" s="69">
        <f>H5*Input!$C3</f>
        <v>1.6673542403402384E-2</v>
      </c>
      <c r="I91" s="69">
        <f>I5*Input!$C3</f>
        <v>1.6622661247194186E-2</v>
      </c>
      <c r="J91" s="69">
        <f>J5*Input!$C3</f>
        <v>7.2145937235673597E-3</v>
      </c>
      <c r="K91" s="69">
        <f>K5*Input!$C3</f>
        <v>0</v>
      </c>
      <c r="L91" s="69">
        <f>L5*Input!$C3</f>
        <v>0</v>
      </c>
      <c r="M91" s="69">
        <f>M5*Input!$C3</f>
        <v>0</v>
      </c>
      <c r="N91" s="69">
        <f>N5*Input!$C3</f>
        <v>0</v>
      </c>
      <c r="O91" s="69">
        <f>O5*Input!$C3</f>
        <v>0</v>
      </c>
      <c r="P91" s="69">
        <f>P5*Input!$C3</f>
        <v>0</v>
      </c>
    </row>
    <row r="92" spans="1:16" x14ac:dyDescent="0.3">
      <c r="A92" s="93" t="str">
        <f t="shared" ref="A92:A104" si="15">A72</f>
        <v>Euro Core RE</v>
      </c>
      <c r="B92" s="69">
        <f>B6*Input!$C4</f>
        <v>0</v>
      </c>
      <c r="C92" s="69">
        <f>C6*Input!$C4</f>
        <v>1.2282280669897727E-2</v>
      </c>
      <c r="D92" s="69">
        <f>D6*Input!$C4</f>
        <v>1.5102213720678884E-2</v>
      </c>
      <c r="E92" s="69">
        <f>E6*Input!$C4</f>
        <v>1.6007083685917523E-2</v>
      </c>
      <c r="F92" s="69">
        <f>F6*Input!$C4</f>
        <v>1.596927200703889E-2</v>
      </c>
      <c r="G92" s="69">
        <f>G6*Input!$C4</f>
        <v>1.5990567406829404E-2</v>
      </c>
      <c r="H92" s="69">
        <f>H6*Input!$C4</f>
        <v>1.4923567636563547E-2</v>
      </c>
      <c r="I92" s="69">
        <f>I6*Input!$C4</f>
        <v>1.2533452983036306E-2</v>
      </c>
      <c r="J92" s="69">
        <f>J6*Input!$C4</f>
        <v>1.1894955232082819E-2</v>
      </c>
      <c r="K92" s="69">
        <f>K6*Input!$C4</f>
        <v>1.0279360393870247E-2</v>
      </c>
      <c r="L92" s="69">
        <f>L6*Input!$C4</f>
        <v>3.9196917872693499E-3</v>
      </c>
      <c r="M92" s="69">
        <f>M6*Input!$C4</f>
        <v>0</v>
      </c>
      <c r="N92" s="69">
        <f>N6*Input!$C4</f>
        <v>0</v>
      </c>
      <c r="O92" s="69">
        <f>O6*Input!$C4</f>
        <v>0</v>
      </c>
      <c r="P92" s="69">
        <f>P6*Input!$C4</f>
        <v>0</v>
      </c>
    </row>
    <row r="93" spans="1:16" x14ac:dyDescent="0.3">
      <c r="A93" s="93" t="str">
        <f t="shared" si="15"/>
        <v>Asia Core RE</v>
      </c>
      <c r="B93" s="69">
        <f>B7*Input!$C5</f>
        <v>0</v>
      </c>
      <c r="C93" s="69">
        <f>C7*Input!$C5</f>
        <v>0</v>
      </c>
      <c r="D93" s="69">
        <f>D7*Input!$C5</f>
        <v>3.9154476400712771E-3</v>
      </c>
      <c r="E93" s="69">
        <f>E7*Input!$C5</f>
        <v>7.2971559337478313E-3</v>
      </c>
      <c r="F93" s="69">
        <f>F7*Input!$C5</f>
        <v>8.9943486140816545E-3</v>
      </c>
      <c r="G93" s="69">
        <f>G7*Input!$C5</f>
        <v>1.0310144089339626E-2</v>
      </c>
      <c r="H93" s="69">
        <f>H7*Input!$C5</f>
        <v>1.0449341525049036E-2</v>
      </c>
      <c r="I93" s="69">
        <f>I7*Input!$C5</f>
        <v>7.7926242074596152E-3</v>
      </c>
      <c r="J93" s="69">
        <f>J7*Input!$C5</f>
        <v>5.8940852158909894E-3</v>
      </c>
      <c r="K93" s="69">
        <f>K7*Input!$C5</f>
        <v>2.5863038255074236E-3</v>
      </c>
      <c r="L93" s="69">
        <f>L7*Input!$C5</f>
        <v>0</v>
      </c>
      <c r="M93" s="69">
        <f>M7*Input!$C5</f>
        <v>0</v>
      </c>
      <c r="N93" s="69">
        <f>N7*Input!$C5</f>
        <v>0</v>
      </c>
      <c r="O93" s="69">
        <f>O7*Input!$C5</f>
        <v>0</v>
      </c>
      <c r="P93" s="69">
        <f>P7*Input!$C5</f>
        <v>0</v>
      </c>
    </row>
    <row r="94" spans="1:16" x14ac:dyDescent="0.3">
      <c r="A94" s="93" t="str">
        <f t="shared" si="15"/>
        <v>US Core+ RE</v>
      </c>
      <c r="B94" s="69">
        <f>B8*Input!$C6</f>
        <v>0</v>
      </c>
      <c r="C94" s="69">
        <f>C8*Input!$C6</f>
        <v>0</v>
      </c>
      <c r="D94" s="69">
        <f>D8*Input!$C6</f>
        <v>0</v>
      </c>
      <c r="E94" s="69">
        <f>E8*Input!$C6</f>
        <v>0</v>
      </c>
      <c r="F94" s="69">
        <f>F8*Input!$C6</f>
        <v>0</v>
      </c>
      <c r="G94" s="69">
        <f>G8*Input!$C6</f>
        <v>0</v>
      </c>
      <c r="H94" s="69">
        <f>H8*Input!$C6</f>
        <v>0</v>
      </c>
      <c r="I94" s="69">
        <f>I8*Input!$C6</f>
        <v>0</v>
      </c>
      <c r="J94" s="69">
        <f>J8*Input!$C6</f>
        <v>7.7302422086306041E-3</v>
      </c>
      <c r="K94" s="69">
        <f>K8*Input!$C6</f>
        <v>1.4315105854644581E-2</v>
      </c>
      <c r="L94" s="69">
        <f>L8*Input!$C6</f>
        <v>1.5345989219485247E-2</v>
      </c>
      <c r="M94" s="69">
        <f>M8*Input!$C6</f>
        <v>1.0784911917871086E-2</v>
      </c>
      <c r="N94" s="69">
        <f>N8*Input!$C6</f>
        <v>1.9355917156441459E-3</v>
      </c>
      <c r="O94" s="69">
        <f>O8*Input!$C6</f>
        <v>0</v>
      </c>
      <c r="P94" s="69">
        <f>P8*Input!$C6</f>
        <v>0</v>
      </c>
    </row>
    <row r="95" spans="1:16" x14ac:dyDescent="0.3">
      <c r="A95" s="93" t="str">
        <f t="shared" si="15"/>
        <v>VA RE</v>
      </c>
      <c r="B95" s="69">
        <f>B9*Input!$C7</f>
        <v>2.3841857876849558E-9</v>
      </c>
      <c r="C95" s="69">
        <f>C9*Input!$C7</f>
        <v>0</v>
      </c>
      <c r="D95" s="69">
        <f>D9*Input!$C7</f>
        <v>0</v>
      </c>
      <c r="E95" s="69">
        <f>E9*Input!$C7</f>
        <v>0</v>
      </c>
      <c r="F95" s="69">
        <f>F9*Input!$C7</f>
        <v>0</v>
      </c>
      <c r="G95" s="69">
        <f>G9*Input!$C7</f>
        <v>0</v>
      </c>
      <c r="H95" s="69">
        <f>H9*Input!$C7</f>
        <v>0</v>
      </c>
      <c r="I95" s="69">
        <f>I9*Input!$C7</f>
        <v>0</v>
      </c>
      <c r="J95" s="69">
        <f>J9*Input!$C7</f>
        <v>0</v>
      </c>
      <c r="K95" s="69">
        <f>K9*Input!$C7</f>
        <v>0</v>
      </c>
      <c r="L95" s="69">
        <f>L9*Input!$C7</f>
        <v>0</v>
      </c>
      <c r="M95" s="69">
        <f>M9*Input!$C7</f>
        <v>0</v>
      </c>
      <c r="N95" s="69">
        <f>N9*Input!$C7</f>
        <v>0</v>
      </c>
      <c r="O95" s="69">
        <f>O9*Input!$C7</f>
        <v>0</v>
      </c>
      <c r="P95" s="69">
        <f>P9*Input!$C7</f>
        <v>0</v>
      </c>
    </row>
    <row r="96" spans="1:16" x14ac:dyDescent="0.3">
      <c r="A96" s="93" t="str">
        <f t="shared" si="15"/>
        <v>Opp RE</v>
      </c>
      <c r="B96" s="69">
        <f>B10*Input!$C8</f>
        <v>0</v>
      </c>
      <c r="C96" s="69">
        <f>C10*Input!$C8</f>
        <v>0</v>
      </c>
      <c r="D96" s="69">
        <f>D10*Input!$C8</f>
        <v>0</v>
      </c>
      <c r="E96" s="69">
        <f>E10*Input!$C8</f>
        <v>0</v>
      </c>
      <c r="F96" s="69">
        <f>F10*Input!$C8</f>
        <v>0</v>
      </c>
      <c r="G96" s="69">
        <f>G10*Input!$C8</f>
        <v>0</v>
      </c>
      <c r="H96" s="69">
        <f>H10*Input!$C8</f>
        <v>3.4144512846274559E-3</v>
      </c>
      <c r="I96" s="69">
        <f>I10*Input!$C8</f>
        <v>1.1262783012641374E-2</v>
      </c>
      <c r="J96" s="69">
        <f>J10*Input!$C8</f>
        <v>1.7522511292382099E-2</v>
      </c>
      <c r="K96" s="69">
        <f>K10*Input!$C8</f>
        <v>2.397713939503749E-2</v>
      </c>
      <c r="L96" s="69">
        <f>L10*Input!$C8</f>
        <v>3.2047615023843463E-2</v>
      </c>
      <c r="M96" s="69">
        <f>M10*Input!$C8</f>
        <v>4.3194027889796427E-2</v>
      </c>
      <c r="N96" s="69">
        <f>N10*Input!$C8</f>
        <v>5.6543840478229822E-2</v>
      </c>
      <c r="O96" s="69">
        <f>O10*Input!$C8</f>
        <v>7.2857156140397034E-2</v>
      </c>
      <c r="P96" s="69">
        <f>P10*Input!$C8</f>
        <v>0.09</v>
      </c>
    </row>
    <row r="97" spans="1:16" x14ac:dyDescent="0.3">
      <c r="A97" s="93" t="str">
        <f t="shared" si="15"/>
        <v>Infra</v>
      </c>
      <c r="B97" s="69">
        <f>B11*Input!$C9</f>
        <v>0</v>
      </c>
      <c r="C97" s="69">
        <f>C11*Input!$C9</f>
        <v>0</v>
      </c>
      <c r="D97" s="69">
        <f>D11*Input!$C9</f>
        <v>0</v>
      </c>
      <c r="E97" s="69">
        <f>E11*Input!$C9</f>
        <v>3.3554172970819314E-3</v>
      </c>
      <c r="F97" s="69">
        <f>F11*Input!$C9</f>
        <v>8.9083806899014784E-3</v>
      </c>
      <c r="G97" s="69">
        <f>G11*Input!$C9</f>
        <v>1.2380234063943812E-2</v>
      </c>
      <c r="H97" s="69">
        <f>H11*Input!$C9</f>
        <v>1.515336720266273E-2</v>
      </c>
      <c r="I97" s="69">
        <f>I11*Input!$C9</f>
        <v>1.8381980214466929E-2</v>
      </c>
      <c r="J97" s="69">
        <f>J11*Input!$C9</f>
        <v>2.1430507555770559E-2</v>
      </c>
      <c r="K97" s="69">
        <f>K11*Input!$C9</f>
        <v>2.4556378501274009E-2</v>
      </c>
      <c r="L97" s="69">
        <f>L11*Input!$C9</f>
        <v>2.725813402699951E-2</v>
      </c>
      <c r="M97" s="69">
        <f>M11*Input!$C9</f>
        <v>2.7449713989355373E-2</v>
      </c>
      <c r="N97" s="69">
        <f>N11*Input!$C9</f>
        <v>2.5806284668046891E-2</v>
      </c>
      <c r="O97" s="69">
        <f>O11*Input!$C9</f>
        <v>1.42857032163358E-2</v>
      </c>
      <c r="P97" s="69">
        <f>P11*Input!$C9</f>
        <v>0</v>
      </c>
    </row>
    <row r="98" spans="1:16" x14ac:dyDescent="0.3">
      <c r="A98" s="93" t="str">
        <f t="shared" si="15"/>
        <v>Timberland</v>
      </c>
      <c r="B98" s="69">
        <f>B12*Input!$C10</f>
        <v>2.5453502440503335E-2</v>
      </c>
      <c r="C98" s="69">
        <f>C12*Input!$C10</f>
        <v>1.4671096840197332E-2</v>
      </c>
      <c r="D98" s="69">
        <f>D12*Input!$C10</f>
        <v>1.1160097353790366E-2</v>
      </c>
      <c r="E98" s="69">
        <f>E12*Input!$C10</f>
        <v>8.3936794186731441E-3</v>
      </c>
      <c r="F98" s="69">
        <f>F12*Input!$C10</f>
        <v>6.329058109061092E-3</v>
      </c>
      <c r="G98" s="69">
        <f>G12*Input!$C10</f>
        <v>3.1287152143862859E-3</v>
      </c>
      <c r="H98" s="69">
        <f>H12*Input!$C10</f>
        <v>0</v>
      </c>
      <c r="I98" s="69">
        <f>I12*Input!$C10</f>
        <v>0</v>
      </c>
      <c r="J98" s="69">
        <f>J12*Input!$C10</f>
        <v>0</v>
      </c>
      <c r="K98" s="69">
        <f>K12*Input!$C10</f>
        <v>0</v>
      </c>
      <c r="L98" s="69">
        <f>L12*Input!$C10</f>
        <v>0</v>
      </c>
      <c r="M98" s="69">
        <f>M12*Input!$C10</f>
        <v>0</v>
      </c>
      <c r="N98" s="69">
        <f>N12*Input!$C10</f>
        <v>0</v>
      </c>
      <c r="O98" s="69">
        <f>O12*Input!$C10</f>
        <v>0</v>
      </c>
      <c r="P98" s="69">
        <f>P12*Input!$C10</f>
        <v>0</v>
      </c>
    </row>
    <row r="99" spans="1:16" x14ac:dyDescent="0.3">
      <c r="A99" s="93" t="str">
        <f t="shared" si="15"/>
        <v>Row Crops</v>
      </c>
      <c r="B99" s="69">
        <f>B13*Input!$C11</f>
        <v>2.4546496015315711E-2</v>
      </c>
      <c r="C99" s="69">
        <f>C13*Input!$C11</f>
        <v>2.5165389918402017E-2</v>
      </c>
      <c r="D99" s="69">
        <f>D13*Input!$C11</f>
        <v>1.8591593717254547E-2</v>
      </c>
      <c r="E99" s="69">
        <f>E13*Input!$C11</f>
        <v>1.2920298799458444E-2</v>
      </c>
      <c r="F99" s="69">
        <f>F13*Input!$C11</f>
        <v>7.7516845987388727E-3</v>
      </c>
      <c r="G99" s="69">
        <f>G13*Input!$C11</f>
        <v>2.2069976750650581E-3</v>
      </c>
      <c r="H99" s="69">
        <f>H13*Input!$C11</f>
        <v>0</v>
      </c>
      <c r="I99" s="69">
        <f>I13*Input!$C11</f>
        <v>0</v>
      </c>
      <c r="J99" s="69">
        <f>J13*Input!$C11</f>
        <v>0</v>
      </c>
      <c r="K99" s="69">
        <f>K13*Input!$C11</f>
        <v>0</v>
      </c>
      <c r="L99" s="69">
        <f>L13*Input!$C11</f>
        <v>0</v>
      </c>
      <c r="M99" s="69">
        <f>M13*Input!$C11</f>
        <v>0</v>
      </c>
      <c r="N99" s="69">
        <f>N13*Input!$C11</f>
        <v>0</v>
      </c>
      <c r="O99" s="69">
        <f>O13*Input!$C11</f>
        <v>0</v>
      </c>
      <c r="P99" s="69">
        <f>P13*Input!$C11</f>
        <v>0</v>
      </c>
    </row>
    <row r="100" spans="1:16" x14ac:dyDescent="0.3">
      <c r="A100" s="93" t="str">
        <f t="shared" si="15"/>
        <v>Perm Crops</v>
      </c>
      <c r="B100" s="69">
        <f>B14*Input!$C12</f>
        <v>0</v>
      </c>
      <c r="C100" s="69">
        <f>C14*Input!$C12</f>
        <v>0</v>
      </c>
      <c r="D100" s="69">
        <f>D14*Input!$C12</f>
        <v>0</v>
      </c>
      <c r="E100" s="69">
        <f>E14*Input!$C12</f>
        <v>0</v>
      </c>
      <c r="F100" s="69">
        <f>F14*Input!$C12</f>
        <v>0</v>
      </c>
      <c r="G100" s="69">
        <f>G14*Input!$C12</f>
        <v>4.678078978282583E-3</v>
      </c>
      <c r="H100" s="69">
        <f>H14*Input!$C12</f>
        <v>6.5285881981956787E-3</v>
      </c>
      <c r="I100" s="69">
        <f>I14*Input!$C12</f>
        <v>3.4064997778594564E-3</v>
      </c>
      <c r="J100" s="69">
        <f>J14*Input!$C12</f>
        <v>1.1702477816116397E-3</v>
      </c>
      <c r="K100" s="69">
        <f>K14*Input!$C12</f>
        <v>0</v>
      </c>
      <c r="L100" s="69">
        <f>L14*Input!$C12</f>
        <v>0</v>
      </c>
      <c r="M100" s="69">
        <f>M14*Input!$C12</f>
        <v>0</v>
      </c>
      <c r="N100" s="69">
        <f>N14*Input!$C12</f>
        <v>0</v>
      </c>
      <c r="O100" s="69">
        <f>O14*Input!$C12</f>
        <v>0</v>
      </c>
      <c r="P100" s="69">
        <f>P14*Input!$C12</f>
        <v>0</v>
      </c>
    </row>
    <row r="101" spans="1:16" x14ac:dyDescent="0.3">
      <c r="A101" s="93" t="str">
        <f t="shared" si="15"/>
        <v>REITs</v>
      </c>
      <c r="B101" s="69">
        <f>B15*Input!$C13</f>
        <v>0</v>
      </c>
      <c r="C101" s="69">
        <f>C15*Input!$C13</f>
        <v>0</v>
      </c>
      <c r="D101" s="69">
        <f>D15*Input!$C13</f>
        <v>0</v>
      </c>
      <c r="E101" s="69">
        <f>E15*Input!$C13</f>
        <v>0</v>
      </c>
      <c r="F101" s="69">
        <f>F15*Input!$C13</f>
        <v>0</v>
      </c>
      <c r="G101" s="69">
        <f>G15*Input!$C13</f>
        <v>0</v>
      </c>
      <c r="H101" s="69">
        <f>H15*Input!$C13</f>
        <v>0</v>
      </c>
      <c r="I101" s="69">
        <f>I15*Input!$C13</f>
        <v>0</v>
      </c>
      <c r="J101" s="69">
        <f>J15*Input!$C13</f>
        <v>0</v>
      </c>
      <c r="K101" s="69">
        <f>K15*Input!$C13</f>
        <v>0</v>
      </c>
      <c r="L101" s="69">
        <f>L15*Input!$C13</f>
        <v>0</v>
      </c>
      <c r="M101" s="69">
        <f>M15*Input!$C13</f>
        <v>0</v>
      </c>
      <c r="N101" s="69">
        <f>N15*Input!$C13</f>
        <v>0</v>
      </c>
      <c r="O101" s="69">
        <f>O15*Input!$C13</f>
        <v>0</v>
      </c>
      <c r="P101" s="69">
        <f>P15*Input!$C13</f>
        <v>0</v>
      </c>
    </row>
    <row r="102" spans="1:16" x14ac:dyDescent="0.3">
      <c r="A102" s="93" t="str">
        <f t="shared" si="15"/>
        <v>US Public Eq</v>
      </c>
      <c r="B102" s="69">
        <f>B16*Input!$C14</f>
        <v>0</v>
      </c>
      <c r="C102" s="69">
        <f>C16*Input!$C14</f>
        <v>0</v>
      </c>
      <c r="D102" s="69">
        <f>D16*Input!$C14</f>
        <v>0</v>
      </c>
      <c r="E102" s="69">
        <f>E16*Input!$C14</f>
        <v>0</v>
      </c>
      <c r="F102" s="69">
        <f>F16*Input!$C14</f>
        <v>0</v>
      </c>
      <c r="G102" s="69">
        <f>G16*Input!$C14</f>
        <v>0</v>
      </c>
      <c r="H102" s="69">
        <f>H16*Input!$C14</f>
        <v>0</v>
      </c>
      <c r="I102" s="69">
        <f>I16*Input!$C14</f>
        <v>0</v>
      </c>
      <c r="J102" s="69">
        <f>J16*Input!$C14</f>
        <v>0</v>
      </c>
      <c r="K102" s="69">
        <f>K16*Input!$C14</f>
        <v>0</v>
      </c>
      <c r="L102" s="69">
        <f>L16*Input!$C14</f>
        <v>0</v>
      </c>
      <c r="M102" s="69">
        <f>M16*Input!$C14</f>
        <v>0</v>
      </c>
      <c r="N102" s="69">
        <f>N16*Input!$C14</f>
        <v>0</v>
      </c>
      <c r="O102" s="69">
        <f>O16*Input!$C14</f>
        <v>0</v>
      </c>
      <c r="P102" s="69">
        <f>P16*Input!$C14</f>
        <v>0</v>
      </c>
    </row>
    <row r="103" spans="1:16" x14ac:dyDescent="0.3">
      <c r="A103" s="93" t="str">
        <f t="shared" si="15"/>
        <v>Fixed Income</v>
      </c>
      <c r="B103" s="69">
        <f>B17*Input!$C15</f>
        <v>0</v>
      </c>
      <c r="C103" s="69">
        <f>C17*Input!$C15</f>
        <v>0</v>
      </c>
      <c r="D103" s="69">
        <f>D17*Input!$C15</f>
        <v>0</v>
      </c>
      <c r="E103" s="69">
        <f>E17*Input!$C15</f>
        <v>0</v>
      </c>
      <c r="F103" s="69">
        <f>F17*Input!$C15</f>
        <v>0</v>
      </c>
      <c r="G103" s="69">
        <f>G17*Input!$C15</f>
        <v>0</v>
      </c>
      <c r="H103" s="69">
        <f>H17*Input!$C15</f>
        <v>0</v>
      </c>
      <c r="I103" s="69">
        <f>I17*Input!$C15</f>
        <v>0</v>
      </c>
      <c r="J103" s="69">
        <f>J17*Input!$C15</f>
        <v>0</v>
      </c>
      <c r="K103" s="69">
        <f>K17*Input!$C15</f>
        <v>0</v>
      </c>
      <c r="L103" s="69">
        <f>L17*Input!$C15</f>
        <v>0</v>
      </c>
      <c r="M103" s="69">
        <f>M17*Input!$C15</f>
        <v>0</v>
      </c>
      <c r="N103" s="69">
        <f>N17*Input!$C15</f>
        <v>0</v>
      </c>
      <c r="O103" s="69">
        <f>O17*Input!$C15</f>
        <v>0</v>
      </c>
      <c r="P103" s="69">
        <f>P17*Input!$C15</f>
        <v>0</v>
      </c>
    </row>
    <row r="104" spans="1:16" x14ac:dyDescent="0.3">
      <c r="A104" s="93" t="str">
        <f t="shared" si="15"/>
        <v>NCPREC</v>
      </c>
      <c r="B104" s="69">
        <f>B18*Input!$C16</f>
        <v>0</v>
      </c>
      <c r="C104" s="69">
        <f>C18*Input!$C16</f>
        <v>0</v>
      </c>
      <c r="D104" s="69">
        <f>D18*Input!$C16</f>
        <v>0</v>
      </c>
      <c r="E104" s="69">
        <f>E18*Input!$C16</f>
        <v>0</v>
      </c>
      <c r="F104" s="69">
        <f>F18*Input!$C16</f>
        <v>0</v>
      </c>
      <c r="G104" s="69">
        <f>G18*Input!$C16</f>
        <v>0</v>
      </c>
      <c r="H104" s="69">
        <f>H18*Input!$C16</f>
        <v>0</v>
      </c>
      <c r="I104" s="69">
        <f>I18*Input!$C16</f>
        <v>0</v>
      </c>
      <c r="J104" s="69">
        <f>J18*Input!$C16</f>
        <v>0</v>
      </c>
      <c r="K104" s="69">
        <f>K18*Input!$C16</f>
        <v>0</v>
      </c>
      <c r="L104" s="69">
        <f>L18*Input!$C16</f>
        <v>0</v>
      </c>
      <c r="M104" s="69">
        <f>M18*Input!$C16</f>
        <v>0</v>
      </c>
      <c r="N104" s="69">
        <f>N18*Input!$C16</f>
        <v>0</v>
      </c>
      <c r="O104" s="69">
        <f>O18*Input!$C16</f>
        <v>0</v>
      </c>
      <c r="P104" s="69">
        <f>P18*Input!$C16</f>
        <v>0</v>
      </c>
    </row>
    <row r="105" spans="1:16" x14ac:dyDescent="0.3">
      <c r="A105" s="93"/>
      <c r="B105" s="69"/>
    </row>
    <row r="106" spans="1:16" x14ac:dyDescent="0.3">
      <c r="A106" s="93"/>
      <c r="B106" s="69">
        <f>(SUM(B91:B101)+B104)/(1-SUM(B82:B83))</f>
        <v>4.9950050789215619E-2</v>
      </c>
      <c r="C106" s="69">
        <f t="shared" ref="C106:P106" si="16">(SUM(C91:C101)+C104)/(1-SUM(C82:C83))</f>
        <v>5.2804338997955093E-2</v>
      </c>
      <c r="D106" s="69">
        <f t="shared" si="16"/>
        <v>5.56586270371821E-2</v>
      </c>
      <c r="E106" s="69">
        <f t="shared" si="16"/>
        <v>5.8512916164818997E-2</v>
      </c>
      <c r="F106" s="69">
        <f t="shared" si="16"/>
        <v>6.1367204323575786E-2</v>
      </c>
      <c r="G106" s="69">
        <f t="shared" si="16"/>
        <v>6.4221493777153846E-2</v>
      </c>
      <c r="H106" s="69">
        <f t="shared" si="16"/>
        <v>6.7075782468032807E-2</v>
      </c>
      <c r="I106" s="69">
        <f t="shared" si="16"/>
        <v>6.9930071371286581E-2</v>
      </c>
      <c r="J106" s="69">
        <f t="shared" si="16"/>
        <v>7.2784358651284783E-2</v>
      </c>
      <c r="K106" s="69">
        <f t="shared" si="16"/>
        <v>7.5638649321012746E-2</v>
      </c>
      <c r="L106" s="69">
        <f t="shared" si="16"/>
        <v>7.8492937120477099E-2</v>
      </c>
      <c r="M106" s="69">
        <f t="shared" si="16"/>
        <v>8.1347306490532359E-2</v>
      </c>
      <c r="N106" s="69">
        <f t="shared" si="16"/>
        <v>8.4201515346574302E-2</v>
      </c>
      <c r="O106" s="69">
        <f t="shared" si="16"/>
        <v>8.7055803553179656E-2</v>
      </c>
      <c r="P106" s="69">
        <f t="shared" si="16"/>
        <v>8.9910089910089919E-2</v>
      </c>
    </row>
    <row r="107" spans="1:16" x14ac:dyDescent="0.3">
      <c r="A107" s="93"/>
      <c r="B107" s="69"/>
    </row>
    <row r="108" spans="1:16" x14ac:dyDescent="0.3">
      <c r="A108" s="93"/>
      <c r="B108" s="69"/>
    </row>
    <row r="109" spans="1:16" x14ac:dyDescent="0.3">
      <c r="A109" s="93"/>
      <c r="B109" s="69"/>
    </row>
    <row r="110" spans="1:16" x14ac:dyDescent="0.3">
      <c r="A110" s="93"/>
      <c r="B110" s="69"/>
    </row>
    <row r="111" spans="1:16" x14ac:dyDescent="0.3">
      <c r="A111" s="93"/>
      <c r="B111" s="69"/>
    </row>
  </sheetData>
  <conditionalFormatting sqref="B1:XFD1">
    <cfRule type="expression" dxfId="15" priority="6">
      <formula>B$2&lt;&gt;""</formula>
    </cfRule>
  </conditionalFormatting>
  <conditionalFormatting sqref="A4:XFD4">
    <cfRule type="expression" dxfId="14" priority="4">
      <formula>A$4&lt;&gt;""</formula>
    </cfRule>
  </conditionalFormatting>
  <conditionalFormatting sqref="O43:P45">
    <cfRule type="expression" dxfId="13" priority="12">
      <formula>AND(O43&lt;&gt;"",B$4=MAX($4:$4))</formula>
    </cfRule>
  </conditionalFormatting>
  <conditionalFormatting sqref="X1:BJ1">
    <cfRule type="expression" dxfId="12" priority="1">
      <formula>X$2&lt;&gt;""</formula>
    </cfRule>
  </conditionalFormatting>
  <conditionalFormatting sqref="A2:XFD44">
    <cfRule type="expression" dxfId="11" priority="3">
      <formula>AND(A2&lt;&gt;"",MOD(ROW(A2),2)=0)</formula>
    </cfRule>
  </conditionalFormatting>
  <pageMargins left="0.7" right="0.7" top="0.75" bottom="0.75" header="0.3" footer="0.3"/>
  <pageSetup orientation="portrait" horizontalDpi="90" verticalDpi="9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815C8-0269-4470-AD61-0513E5F469D0}">
  <dimension ref="D5:R49"/>
  <sheetViews>
    <sheetView topLeftCell="B1" workbookViewId="0">
      <selection activeCell="D6" sqref="D6:D19"/>
    </sheetView>
  </sheetViews>
  <sheetFormatPr defaultRowHeight="14.4" x14ac:dyDescent="0.3"/>
  <cols>
    <col min="4" max="4" width="22.109375" bestFit="1" customWidth="1"/>
    <col min="11" max="11" width="9.88671875" customWidth="1"/>
  </cols>
  <sheetData>
    <row r="5" spans="4:18" ht="28.8" x14ac:dyDescent="0.3">
      <c r="D5" t="s">
        <v>32</v>
      </c>
      <c r="E5" s="80" t="s">
        <v>33</v>
      </c>
      <c r="F5" s="80" t="s">
        <v>34</v>
      </c>
      <c r="G5" s="80" t="s">
        <v>35</v>
      </c>
      <c r="H5" s="80" t="s">
        <v>36</v>
      </c>
      <c r="I5" s="80" t="s">
        <v>30</v>
      </c>
      <c r="J5" s="80" t="s">
        <v>28</v>
      </c>
      <c r="K5" s="80" t="s">
        <v>37</v>
      </c>
      <c r="L5" s="80" t="s">
        <v>20</v>
      </c>
      <c r="M5" s="80" t="s">
        <v>21</v>
      </c>
      <c r="N5" s="80" t="s">
        <v>38</v>
      </c>
      <c r="O5" s="80" t="s">
        <v>31</v>
      </c>
      <c r="P5" t="s">
        <v>39</v>
      </c>
      <c r="Q5" t="s">
        <v>22</v>
      </c>
      <c r="R5" t="s">
        <v>40</v>
      </c>
    </row>
    <row r="6" spans="4:18" x14ac:dyDescent="0.3">
      <c r="D6" s="50" t="str">
        <f>[1]Summary!B53</f>
        <v>US Core RE</v>
      </c>
      <c r="E6" s="96">
        <f>[1]Summary!C53</f>
        <v>1</v>
      </c>
      <c r="F6" s="96">
        <f>[1]Summary!D53</f>
        <v>0</v>
      </c>
      <c r="G6" s="96">
        <f>[1]Summary!E53</f>
        <v>0</v>
      </c>
      <c r="H6" s="96">
        <f>[1]Summary!F53</f>
        <v>0</v>
      </c>
      <c r="I6" s="96">
        <f>[1]Summary!G53</f>
        <v>0</v>
      </c>
      <c r="J6" s="96">
        <f>[1]Summary!H53</f>
        <v>0</v>
      </c>
      <c r="K6" s="96">
        <f>[1]Summary!I53</f>
        <v>0</v>
      </c>
      <c r="L6" s="96">
        <f>[1]Summary!J53</f>
        <v>0</v>
      </c>
      <c r="M6" s="96">
        <f>[1]Summary!K53</f>
        <v>0</v>
      </c>
      <c r="N6" s="96">
        <f>[1]Summary!L53</f>
        <v>0</v>
      </c>
      <c r="O6" s="96">
        <f>[1]Summary!M53</f>
        <v>0</v>
      </c>
      <c r="P6" s="96">
        <f>[1]Summary!N53</f>
        <v>0</v>
      </c>
      <c r="Q6" s="96">
        <f>[1]Summary!O53</f>
        <v>0</v>
      </c>
      <c r="R6" s="96">
        <f>[1]Summary!P53</f>
        <v>0</v>
      </c>
    </row>
    <row r="7" spans="4:18" x14ac:dyDescent="0.3">
      <c r="D7" s="50" t="str">
        <f>[1]Summary!B54</f>
        <v>Euro Core RE</v>
      </c>
      <c r="E7" s="96">
        <f>[1]Summary!C54</f>
        <v>0.49178433624750645</v>
      </c>
      <c r="F7" s="96">
        <f>[1]Summary!D54</f>
        <v>1</v>
      </c>
      <c r="G7" s="96">
        <f>[1]Summary!E54</f>
        <v>0</v>
      </c>
      <c r="H7" s="96">
        <f>[1]Summary!F54</f>
        <v>0</v>
      </c>
      <c r="I7" s="96">
        <f>[1]Summary!G54</f>
        <v>0</v>
      </c>
      <c r="J7" s="96">
        <f>[1]Summary!H54</f>
        <v>0</v>
      </c>
      <c r="K7" s="96">
        <f>[1]Summary!I54</f>
        <v>0</v>
      </c>
      <c r="L7" s="96">
        <f>[1]Summary!J54</f>
        <v>0</v>
      </c>
      <c r="M7" s="96">
        <f>[1]Summary!K54</f>
        <v>0</v>
      </c>
      <c r="N7" s="96">
        <f>[1]Summary!L54</f>
        <v>0</v>
      </c>
      <c r="O7" s="96">
        <f>[1]Summary!M54</f>
        <v>0</v>
      </c>
      <c r="P7" s="96">
        <f>[1]Summary!N54</f>
        <v>0</v>
      </c>
      <c r="Q7" s="96">
        <f>[1]Summary!O54</f>
        <v>0</v>
      </c>
      <c r="R7" s="96">
        <f>[1]Summary!P54</f>
        <v>0</v>
      </c>
    </row>
    <row r="8" spans="4:18" x14ac:dyDescent="0.3">
      <c r="D8" s="50" t="str">
        <f>[1]Summary!B55</f>
        <v>Asia Core RE</v>
      </c>
      <c r="E8" s="96">
        <f>[1]Summary!C55</f>
        <v>0.4063701859485192</v>
      </c>
      <c r="F8" s="96">
        <f>[1]Summary!D55</f>
        <v>0.20530551340512021</v>
      </c>
      <c r="G8" s="96">
        <f>[1]Summary!E55</f>
        <v>1</v>
      </c>
      <c r="H8" s="96">
        <f>[1]Summary!F55</f>
        <v>0</v>
      </c>
      <c r="I8" s="96">
        <f>[1]Summary!G55</f>
        <v>0</v>
      </c>
      <c r="J8" s="96">
        <f>[1]Summary!H55</f>
        <v>0</v>
      </c>
      <c r="K8" s="96">
        <f>[1]Summary!I55</f>
        <v>0</v>
      </c>
      <c r="L8" s="96">
        <f>[1]Summary!J55</f>
        <v>0</v>
      </c>
      <c r="M8" s="96">
        <f>[1]Summary!K55</f>
        <v>0</v>
      </c>
      <c r="N8" s="96">
        <f>[1]Summary!L55</f>
        <v>0</v>
      </c>
      <c r="O8" s="96">
        <f>[1]Summary!M55</f>
        <v>0</v>
      </c>
      <c r="P8" s="96">
        <f>[1]Summary!N55</f>
        <v>0</v>
      </c>
      <c r="Q8" s="96">
        <f>[1]Summary!O55</f>
        <v>0</v>
      </c>
      <c r="R8" s="96">
        <f>[1]Summary!P55</f>
        <v>0</v>
      </c>
    </row>
    <row r="9" spans="4:18" x14ac:dyDescent="0.3">
      <c r="D9" s="50" t="str">
        <f>[1]Summary!B56</f>
        <v>US Core+ RE</v>
      </c>
      <c r="E9" s="96">
        <f>[1]Summary!C56</f>
        <v>0.93614773975189014</v>
      </c>
      <c r="F9" s="96">
        <f>[1]Summary!D56</f>
        <v>0.38862000619974973</v>
      </c>
      <c r="G9" s="96">
        <f>[1]Summary!E56</f>
        <v>0.40100606445244846</v>
      </c>
      <c r="H9" s="96">
        <f>[1]Summary!F56</f>
        <v>1</v>
      </c>
      <c r="I9" s="96">
        <f>[1]Summary!G56</f>
        <v>0</v>
      </c>
      <c r="J9" s="96">
        <f>[1]Summary!H56</f>
        <v>0</v>
      </c>
      <c r="K9" s="96">
        <f>[1]Summary!I56</f>
        <v>0</v>
      </c>
      <c r="L9" s="96">
        <f>[1]Summary!J56</f>
        <v>0</v>
      </c>
      <c r="M9" s="96">
        <f>[1]Summary!K56</f>
        <v>0</v>
      </c>
      <c r="N9" s="96">
        <f>[1]Summary!L56</f>
        <v>0</v>
      </c>
      <c r="O9" s="96">
        <f>[1]Summary!M56</f>
        <v>0</v>
      </c>
      <c r="P9" s="96">
        <f>[1]Summary!N56</f>
        <v>0</v>
      </c>
      <c r="Q9" s="96">
        <f>[1]Summary!O56</f>
        <v>0</v>
      </c>
      <c r="R9" s="96">
        <f>[1]Summary!P56</f>
        <v>0</v>
      </c>
    </row>
    <row r="10" spans="4:18" x14ac:dyDescent="0.3">
      <c r="D10" s="50" t="str">
        <f>[1]Summary!B57</f>
        <v>VA RE</v>
      </c>
      <c r="E10" s="96">
        <f>[1]Summary!C57</f>
        <v>0.51836772571099143</v>
      </c>
      <c r="F10" s="96">
        <f>[1]Summary!D57</f>
        <v>0.37682862871236927</v>
      </c>
      <c r="G10" s="96">
        <f>[1]Summary!E57</f>
        <v>0.46805982797571655</v>
      </c>
      <c r="H10" s="96">
        <f>[1]Summary!F57</f>
        <v>0.4883041246607962</v>
      </c>
      <c r="I10" s="96">
        <f>[1]Summary!G57</f>
        <v>1</v>
      </c>
      <c r="J10" s="96">
        <f>[1]Summary!H57</f>
        <v>0</v>
      </c>
      <c r="K10" s="96">
        <f>[1]Summary!I57</f>
        <v>0</v>
      </c>
      <c r="L10" s="96">
        <f>[1]Summary!J57</f>
        <v>0</v>
      </c>
      <c r="M10" s="96">
        <f>[1]Summary!K57</f>
        <v>0</v>
      </c>
      <c r="N10" s="96">
        <f>[1]Summary!L57</f>
        <v>0</v>
      </c>
      <c r="O10" s="96">
        <f>[1]Summary!M57</f>
        <v>0</v>
      </c>
      <c r="P10" s="96">
        <f>[1]Summary!N57</f>
        <v>0</v>
      </c>
      <c r="Q10" s="96">
        <f>[1]Summary!O57</f>
        <v>0</v>
      </c>
      <c r="R10" s="96">
        <f>[1]Summary!P57</f>
        <v>0</v>
      </c>
    </row>
    <row r="11" spans="4:18" x14ac:dyDescent="0.3">
      <c r="D11" s="50" t="str">
        <f>[1]Summary!B58</f>
        <v>Opp RE</v>
      </c>
      <c r="E11" s="96">
        <f>[1]Summary!C58</f>
        <v>0.41875866564426117</v>
      </c>
      <c r="F11" s="96">
        <f>[1]Summary!D58</f>
        <v>0.37955017662329277</v>
      </c>
      <c r="G11" s="96">
        <f>[1]Summary!E58</f>
        <v>0.38184889373776087</v>
      </c>
      <c r="H11" s="96">
        <f>[1]Summary!F58</f>
        <v>0.39840341819042091</v>
      </c>
      <c r="I11" s="96">
        <f>[1]Summary!G58</f>
        <v>0.84394541509332632</v>
      </c>
      <c r="J11" s="96">
        <f>[1]Summary!H58</f>
        <v>1</v>
      </c>
      <c r="K11" s="96">
        <f>[1]Summary!I58</f>
        <v>0</v>
      </c>
      <c r="L11" s="96">
        <f>[1]Summary!J58</f>
        <v>0</v>
      </c>
      <c r="M11" s="96">
        <f>[1]Summary!K58</f>
        <v>0</v>
      </c>
      <c r="N11" s="96">
        <f>[1]Summary!L58</f>
        <v>0</v>
      </c>
      <c r="O11" s="96">
        <f>[1]Summary!M58</f>
        <v>0</v>
      </c>
      <c r="P11" s="96">
        <f>[1]Summary!N58</f>
        <v>0</v>
      </c>
      <c r="Q11" s="96">
        <f>[1]Summary!O58</f>
        <v>0</v>
      </c>
      <c r="R11" s="96">
        <f>[1]Summary!P58</f>
        <v>0</v>
      </c>
    </row>
    <row r="12" spans="4:18" x14ac:dyDescent="0.3">
      <c r="D12" s="50" t="str">
        <f>[1]Summary!B59</f>
        <v>Infra</v>
      </c>
      <c r="E12" s="96">
        <f>[1]Summary!C59</f>
        <v>0.13025924197713964</v>
      </c>
      <c r="F12" s="96">
        <f>[1]Summary!D59</f>
        <v>0.18356389969874159</v>
      </c>
      <c r="G12" s="96">
        <f>[1]Summary!E59</f>
        <v>0.26790911171847664</v>
      </c>
      <c r="H12" s="96">
        <f>[1]Summary!F59</f>
        <v>0.12422167279259516</v>
      </c>
      <c r="I12" s="96">
        <f>[1]Summary!G59</f>
        <v>0.20073438779831687</v>
      </c>
      <c r="J12" s="96">
        <f>[1]Summary!H59</f>
        <v>0.31858695258014058</v>
      </c>
      <c r="K12" s="96">
        <f>[1]Summary!I59</f>
        <v>1</v>
      </c>
      <c r="L12" s="96">
        <f>[1]Summary!J59</f>
        <v>0</v>
      </c>
      <c r="M12" s="96">
        <f>[1]Summary!K59</f>
        <v>0</v>
      </c>
      <c r="N12" s="96">
        <f>[1]Summary!L59</f>
        <v>0</v>
      </c>
      <c r="O12" s="96">
        <f>[1]Summary!M59</f>
        <v>0</v>
      </c>
      <c r="P12" s="96">
        <f>[1]Summary!N59</f>
        <v>0</v>
      </c>
      <c r="Q12" s="96">
        <f>[1]Summary!O59</f>
        <v>0</v>
      </c>
      <c r="R12" s="96">
        <f>[1]Summary!P59</f>
        <v>0</v>
      </c>
    </row>
    <row r="13" spans="4:18" x14ac:dyDescent="0.3">
      <c r="D13" s="50" t="str">
        <f>[1]Summary!B60</f>
        <v>Timberland</v>
      </c>
      <c r="E13" s="96">
        <f>[1]Summary!C60</f>
        <v>1.6365488614244444E-2</v>
      </c>
      <c r="F13" s="96">
        <f>[1]Summary!D60</f>
        <v>-0.15415489951473568</v>
      </c>
      <c r="G13" s="96">
        <f>[1]Summary!E60</f>
        <v>0.25016377786354782</v>
      </c>
      <c r="H13" s="96">
        <f>[1]Summary!F60</f>
        <v>1.2121524271471527E-2</v>
      </c>
      <c r="I13" s="96">
        <f>[1]Summary!G60</f>
        <v>0.42275612899960735</v>
      </c>
      <c r="J13" s="96">
        <f>[1]Summary!H60</f>
        <v>0.40042547196002543</v>
      </c>
      <c r="K13" s="96">
        <f>[1]Summary!I60</f>
        <v>0.14894814187409311</v>
      </c>
      <c r="L13" s="96">
        <f>[1]Summary!J60</f>
        <v>1</v>
      </c>
      <c r="M13" s="96">
        <f>[1]Summary!K60</f>
        <v>0</v>
      </c>
      <c r="N13" s="96">
        <f>[1]Summary!L60</f>
        <v>0</v>
      </c>
      <c r="O13" s="96">
        <f>[1]Summary!M60</f>
        <v>0</v>
      </c>
      <c r="P13" s="96">
        <f>[1]Summary!N60</f>
        <v>0</v>
      </c>
      <c r="Q13" s="96">
        <f>[1]Summary!O60</f>
        <v>0</v>
      </c>
      <c r="R13" s="96">
        <f>[1]Summary!P60</f>
        <v>0</v>
      </c>
    </row>
    <row r="14" spans="4:18" x14ac:dyDescent="0.3">
      <c r="D14" s="50" t="str">
        <f>[1]Summary!B61</f>
        <v>Row Crops</v>
      </c>
      <c r="E14" s="96">
        <f>[1]Summary!C61</f>
        <v>6.1553659050129952E-4</v>
      </c>
      <c r="F14" s="96">
        <f>[1]Summary!D61</f>
        <v>-5.4815845913370256E-2</v>
      </c>
      <c r="G14" s="96">
        <f>[1]Summary!E61</f>
        <v>0.18059859113982518</v>
      </c>
      <c r="H14" s="96">
        <f>[1]Summary!F61</f>
        <v>5.4220969959936178E-3</v>
      </c>
      <c r="I14" s="96">
        <f>[1]Summary!G61</f>
        <v>0.35702687937587291</v>
      </c>
      <c r="J14" s="96">
        <f>[1]Summary!H61</f>
        <v>0.43917136872550955</v>
      </c>
      <c r="K14" s="96">
        <f>[1]Summary!I61</f>
        <v>0.24409243918404858</v>
      </c>
      <c r="L14" s="96">
        <f>[1]Summary!J61</f>
        <v>0.61532497761650118</v>
      </c>
      <c r="M14" s="96">
        <f>[1]Summary!K61</f>
        <v>1</v>
      </c>
      <c r="N14" s="96">
        <f>[1]Summary!L61</f>
        <v>0</v>
      </c>
      <c r="O14" s="96">
        <f>[1]Summary!M61</f>
        <v>0</v>
      </c>
      <c r="P14" s="96">
        <f>[1]Summary!N61</f>
        <v>0</v>
      </c>
      <c r="Q14" s="96">
        <f>[1]Summary!O61</f>
        <v>0</v>
      </c>
      <c r="R14" s="96">
        <f>[1]Summary!P61</f>
        <v>0</v>
      </c>
    </row>
    <row r="15" spans="4:18" x14ac:dyDescent="0.3">
      <c r="D15" s="50" t="str">
        <f>[1]Summary!B62</f>
        <v>Perm Crops</v>
      </c>
      <c r="E15" s="96">
        <f>[1]Summary!C62</f>
        <v>5.8186174890781081E-2</v>
      </c>
      <c r="F15" s="96">
        <f>[1]Summary!D62</f>
        <v>1.3253332647786333E-2</v>
      </c>
      <c r="G15" s="96">
        <f>[1]Summary!E62</f>
        <v>0.2048482670862555</v>
      </c>
      <c r="H15" s="96">
        <f>[1]Summary!F62</f>
        <v>5.6054916137994237E-2</v>
      </c>
      <c r="I15" s="96">
        <f>[1]Summary!G62</f>
        <v>0.37282844293471823</v>
      </c>
      <c r="J15" s="96">
        <f>[1]Summary!H62</f>
        <v>0.46734464897652234</v>
      </c>
      <c r="K15" s="96">
        <f>[1]Summary!I62</f>
        <v>0.15569000593935048</v>
      </c>
      <c r="L15" s="96">
        <f>[1]Summary!J62</f>
        <v>0.70595949374693978</v>
      </c>
      <c r="M15" s="96">
        <f>[1]Summary!K62</f>
        <v>0.74263339371277848</v>
      </c>
      <c r="N15" s="96">
        <f>[1]Summary!L62</f>
        <v>1</v>
      </c>
      <c r="O15" s="96">
        <f>[1]Summary!M62</f>
        <v>0</v>
      </c>
      <c r="P15" s="96">
        <f>[1]Summary!N62</f>
        <v>0</v>
      </c>
      <c r="Q15" s="96">
        <f>[1]Summary!O62</f>
        <v>0</v>
      </c>
      <c r="R15" s="96">
        <f>[1]Summary!P62</f>
        <v>0</v>
      </c>
    </row>
    <row r="16" spans="4:18" x14ac:dyDescent="0.3">
      <c r="D16" s="50" t="str">
        <f>[1]Summary!B63</f>
        <v>REITs</v>
      </c>
      <c r="E16" s="96">
        <f>[1]Summary!C63</f>
        <v>0.29371264715951972</v>
      </c>
      <c r="F16" s="96">
        <f>[1]Summary!D63</f>
        <v>0.22517547193739271</v>
      </c>
      <c r="G16" s="96">
        <f>[1]Summary!E63</f>
        <v>0.20306003741201065</v>
      </c>
      <c r="H16" s="96">
        <f>[1]Summary!F63</f>
        <v>0.30804285114347946</v>
      </c>
      <c r="I16" s="96">
        <f>[1]Summary!G63</f>
        <v>0.2586604978289101</v>
      </c>
      <c r="J16" s="96">
        <f>[1]Summary!H63</f>
        <v>0.42001737402938472</v>
      </c>
      <c r="K16" s="96">
        <f>[1]Summary!I63</f>
        <v>0.46296971315675922</v>
      </c>
      <c r="L16" s="96">
        <f>[1]Summary!J63</f>
        <v>3.2225676469827956E-2</v>
      </c>
      <c r="M16" s="96">
        <f>[1]Summary!K63</f>
        <v>0.11963793088907784</v>
      </c>
      <c r="N16" s="96">
        <f>[1]Summary!L63</f>
        <v>9.4114910889106757E-2</v>
      </c>
      <c r="O16" s="96">
        <f>[1]Summary!M63</f>
        <v>1</v>
      </c>
      <c r="P16" s="96">
        <f>[1]Summary!N63</f>
        <v>0</v>
      </c>
      <c r="Q16" s="96">
        <f>[1]Summary!O63</f>
        <v>0</v>
      </c>
      <c r="R16" s="96">
        <f>[1]Summary!P63</f>
        <v>0</v>
      </c>
    </row>
    <row r="17" spans="4:18" x14ac:dyDescent="0.3">
      <c r="D17" s="50" t="str">
        <f>[1]Summary!B64</f>
        <v>US Public Eq</v>
      </c>
      <c r="E17" s="96">
        <f>[1]Summary!C64</f>
        <v>0.19931434340850121</v>
      </c>
      <c r="F17" s="96">
        <f>[1]Summary!D64</f>
        <v>0.16107417367360444</v>
      </c>
      <c r="G17" s="96">
        <f>[1]Summary!E64</f>
        <v>0.13970330325384697</v>
      </c>
      <c r="H17" s="96">
        <f>[1]Summary!F64</f>
        <v>0.23730650641618509</v>
      </c>
      <c r="I17" s="96">
        <f>[1]Summary!G64</f>
        <v>0.28952321378749124</v>
      </c>
      <c r="J17" s="96">
        <f>[1]Summary!H64</f>
        <v>0.38389981524705774</v>
      </c>
      <c r="K17" s="96">
        <f>[1]Summary!I64</f>
        <v>0.3</v>
      </c>
      <c r="L17" s="96">
        <f>[1]Summary!J64</f>
        <v>4.248622240084262E-2</v>
      </c>
      <c r="M17" s="96">
        <f>[1]Summary!K64</f>
        <v>0.17942412429111229</v>
      </c>
      <c r="N17" s="96">
        <f>[1]Summary!L64</f>
        <v>9.3232556763081217E-2</v>
      </c>
      <c r="O17" s="96">
        <f>[1]Summary!M64</f>
        <v>0.75633537472470813</v>
      </c>
      <c r="P17" s="96">
        <f>[1]Summary!N64</f>
        <v>0.99999999999999989</v>
      </c>
      <c r="Q17" s="96">
        <f>[1]Summary!O64</f>
        <v>0</v>
      </c>
      <c r="R17" s="96">
        <f>[1]Summary!P64</f>
        <v>0</v>
      </c>
    </row>
    <row r="18" spans="4:18" x14ac:dyDescent="0.3">
      <c r="D18" s="50" t="str">
        <f>[1]Summary!B65</f>
        <v>Fixed Income</v>
      </c>
      <c r="E18" s="96">
        <f>[1]Summary!C65</f>
        <v>-0.19210083734202649</v>
      </c>
      <c r="F18" s="96">
        <f>[1]Summary!D65</f>
        <v>-4.8481125684787768E-2</v>
      </c>
      <c r="G18" s="96">
        <f>[1]Summary!E65</f>
        <v>-3.5330358448002869E-3</v>
      </c>
      <c r="H18" s="96">
        <f>[1]Summary!F65</f>
        <v>-0.2001985365624051</v>
      </c>
      <c r="I18" s="96">
        <f>[1]Summary!G65</f>
        <v>-8.8046221696621074E-2</v>
      </c>
      <c r="J18" s="96">
        <f>[1]Summary!H65</f>
        <v>-7.5453812172120854E-2</v>
      </c>
      <c r="K18" s="96">
        <f>[1]Summary!I65</f>
        <v>-5.0148496819962272E-2</v>
      </c>
      <c r="L18" s="96">
        <f>[1]Summary!J65</f>
        <v>5.9751972703035568E-2</v>
      </c>
      <c r="M18" s="96">
        <f>[1]Summary!K65</f>
        <v>4.3670193978834412E-3</v>
      </c>
      <c r="N18" s="96">
        <f>[1]Summary!L65</f>
        <v>-4.3230774845831764E-3</v>
      </c>
      <c r="O18" s="96">
        <f>[1]Summary!M65</f>
        <v>0.15572715770911591</v>
      </c>
      <c r="P18" s="96">
        <f>[1]Summary!N65</f>
        <v>-0.10413425732896892</v>
      </c>
      <c r="Q18" s="96">
        <f>[1]Summary!O65</f>
        <v>1</v>
      </c>
      <c r="R18" s="96">
        <f>[1]Summary!P65</f>
        <v>0</v>
      </c>
    </row>
    <row r="19" spans="4:18" x14ac:dyDescent="0.3">
      <c r="D19" s="50" t="str">
        <f>[1]Summary!B66</f>
        <v>NCPREC</v>
      </c>
      <c r="E19" s="96">
        <f>[1]Summary!C66</f>
        <v>0.44609156619795981</v>
      </c>
      <c r="F19" s="96">
        <f>[1]Summary!D66</f>
        <v>0.28384866118334762</v>
      </c>
      <c r="G19" s="96">
        <f>[1]Summary!E66</f>
        <v>0.39582044577142367</v>
      </c>
      <c r="H19" s="96">
        <f>[1]Summary!F66</f>
        <v>0.47809519747363022</v>
      </c>
      <c r="I19" s="96">
        <f>[1]Summary!G66</f>
        <v>0.57692513000126033</v>
      </c>
      <c r="J19" s="96">
        <f>[1]Summary!H66</f>
        <v>0.55411219174796555</v>
      </c>
      <c r="K19" s="96">
        <f>[1]Summary!I66</f>
        <v>0.38739248896585171</v>
      </c>
      <c r="L19" s="96">
        <f>[1]Summary!J66</f>
        <v>0.14746771027644337</v>
      </c>
      <c r="M19" s="96">
        <f>[1]Summary!K66</f>
        <v>0.18792559195196989</v>
      </c>
      <c r="N19" s="96">
        <f>[1]Summary!L66</f>
        <v>0.1137341518204424</v>
      </c>
      <c r="O19" s="96">
        <f>[1]Summary!M66</f>
        <v>0.38097487039122058</v>
      </c>
      <c r="P19" s="96">
        <f>[1]Summary!N66</f>
        <v>0.39409739690269135</v>
      </c>
      <c r="Q19" s="96">
        <f>[1]Summary!O66</f>
        <v>-2.2914060634543525E-2</v>
      </c>
      <c r="R19" s="96">
        <f>[1]Summary!P66</f>
        <v>1</v>
      </c>
    </row>
    <row r="22" spans="4:18" x14ac:dyDescent="0.3">
      <c r="E22" s="38"/>
      <c r="F22" s="39"/>
    </row>
    <row r="23" spans="4:18" x14ac:dyDescent="0.3">
      <c r="E23" s="40"/>
      <c r="F23" s="41"/>
    </row>
    <row r="24" spans="4:18" x14ac:dyDescent="0.3">
      <c r="E24" s="38"/>
      <c r="F24" s="39"/>
    </row>
    <row r="25" spans="4:18" x14ac:dyDescent="0.3">
      <c r="E25" s="40"/>
      <c r="F25" s="41"/>
    </row>
    <row r="26" spans="4:18" x14ac:dyDescent="0.3">
      <c r="E26" s="38"/>
      <c r="F26" s="39"/>
    </row>
    <row r="27" spans="4:18" x14ac:dyDescent="0.3">
      <c r="E27" s="40"/>
      <c r="F27" s="41"/>
    </row>
    <row r="28" spans="4:18" x14ac:dyDescent="0.3">
      <c r="E28" s="38"/>
      <c r="F28" s="39"/>
    </row>
    <row r="29" spans="4:18" x14ac:dyDescent="0.3">
      <c r="E29" s="40"/>
      <c r="F29" s="41"/>
    </row>
    <row r="30" spans="4:18" x14ac:dyDescent="0.3">
      <c r="E30" s="38"/>
      <c r="F30" s="39"/>
    </row>
    <row r="31" spans="4:18" x14ac:dyDescent="0.3">
      <c r="E31" s="40"/>
      <c r="F31" s="41"/>
    </row>
    <row r="32" spans="4:18" x14ac:dyDescent="0.3">
      <c r="E32" s="38"/>
      <c r="F32" s="39"/>
    </row>
    <row r="33" spans="4:16" x14ac:dyDescent="0.3">
      <c r="E33" s="40"/>
      <c r="F33" s="41"/>
    </row>
    <row r="38" spans="4:16" ht="27.6" x14ac:dyDescent="0.4">
      <c r="D38" s="86"/>
      <c r="E38" s="87" t="str">
        <f>E5</f>
        <v>US Core RE</v>
      </c>
      <c r="F38" s="87" t="str">
        <f t="shared" ref="F38:P38" si="0">F5</f>
        <v>Euro Core</v>
      </c>
      <c r="G38" s="87" t="str">
        <f t="shared" si="0"/>
        <v>Asia Core</v>
      </c>
      <c r="H38" s="87" t="s">
        <v>28</v>
      </c>
      <c r="I38" s="87" t="str">
        <f t="shared" si="0"/>
        <v>VA RE</v>
      </c>
      <c r="J38" s="87" t="str">
        <f t="shared" si="0"/>
        <v>Opp RE</v>
      </c>
      <c r="K38" s="87" t="str">
        <f t="shared" si="0"/>
        <v>Infra</v>
      </c>
      <c r="L38" s="87" t="str">
        <f t="shared" si="0"/>
        <v>Timberland</v>
      </c>
      <c r="M38" s="87" t="s">
        <v>29</v>
      </c>
      <c r="N38" s="87" t="str">
        <f t="shared" si="0"/>
        <v>Perm Crops</v>
      </c>
      <c r="O38" s="87" t="str">
        <f t="shared" si="0"/>
        <v>REITs</v>
      </c>
      <c r="P38" s="87" t="str">
        <f t="shared" si="0"/>
        <v>US Public Eq</v>
      </c>
    </row>
    <row r="39" spans="4:16" x14ac:dyDescent="0.3">
      <c r="D39" s="86" t="s">
        <v>24</v>
      </c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</row>
    <row r="40" spans="4:16" x14ac:dyDescent="0.3">
      <c r="D40" s="86" t="s">
        <v>25</v>
      </c>
      <c r="E40" s="88">
        <v>1.9901287753123983E-2</v>
      </c>
      <c r="F40" s="88">
        <v>0.24681498178244074</v>
      </c>
      <c r="G40" s="88">
        <v>0.29217942092407256</v>
      </c>
      <c r="H40" s="88">
        <v>0.37269540594479278</v>
      </c>
      <c r="I40" s="88">
        <v>0.68767700133452381</v>
      </c>
      <c r="J40" s="88">
        <v>3.5131552302470039E-2</v>
      </c>
      <c r="K40" s="88">
        <v>0.1891876558114079</v>
      </c>
      <c r="L40" s="88">
        <v>0.10057129126947122</v>
      </c>
      <c r="M40" s="88">
        <v>0.42303092858584967</v>
      </c>
      <c r="N40" s="88">
        <v>1</v>
      </c>
      <c r="O40" s="88">
        <v>-0.1</v>
      </c>
      <c r="P40" s="88">
        <v>0.38</v>
      </c>
    </row>
    <row r="41" spans="4:16" ht="15.6" x14ac:dyDescent="0.4">
      <c r="D41" s="86" t="s">
        <v>26</v>
      </c>
      <c r="E41" s="89">
        <f>E15</f>
        <v>5.8186174890781081E-2</v>
      </c>
      <c r="F41" s="89">
        <f t="shared" ref="F41:N41" si="1">F15</f>
        <v>1.3253332647786333E-2</v>
      </c>
      <c r="G41" s="90">
        <v>0.29217942092407256</v>
      </c>
      <c r="H41" s="89">
        <f t="shared" si="1"/>
        <v>5.6054916137994237E-2</v>
      </c>
      <c r="I41" s="89">
        <f t="shared" si="1"/>
        <v>0.37282844293471823</v>
      </c>
      <c r="J41" s="89">
        <f t="shared" si="1"/>
        <v>0.46734464897652234</v>
      </c>
      <c r="K41" s="89">
        <f t="shared" si="1"/>
        <v>0.15569000593935048</v>
      </c>
      <c r="L41" s="89">
        <f t="shared" si="1"/>
        <v>0.70595949374693978</v>
      </c>
      <c r="M41" s="89">
        <f t="shared" si="1"/>
        <v>0.74263339371277848</v>
      </c>
      <c r="N41" s="89">
        <f t="shared" si="1"/>
        <v>1</v>
      </c>
      <c r="O41" s="89">
        <v>-0.1</v>
      </c>
      <c r="P41" s="89">
        <v>0.38</v>
      </c>
    </row>
    <row r="42" spans="4:16" x14ac:dyDescent="0.3">
      <c r="D42" s="86" t="s">
        <v>27</v>
      </c>
      <c r="E42" s="91">
        <f>E41-E40</f>
        <v>3.8284887137657098E-2</v>
      </c>
      <c r="F42" s="91">
        <f>F41-F40</f>
        <v>-0.23356164913465441</v>
      </c>
      <c r="G42" s="92">
        <f>G41-G40</f>
        <v>0</v>
      </c>
      <c r="H42" s="92">
        <f t="shared" ref="H42:M42" si="2">H41-H40</f>
        <v>-0.31664048980679854</v>
      </c>
      <c r="I42" s="92">
        <f t="shared" si="2"/>
        <v>-0.31484855839980558</v>
      </c>
      <c r="J42" s="92">
        <f t="shared" si="2"/>
        <v>0.43221309667405228</v>
      </c>
      <c r="K42" s="92">
        <f t="shared" si="2"/>
        <v>-3.3497649872057417E-2</v>
      </c>
      <c r="L42" s="91">
        <f t="shared" si="2"/>
        <v>0.60538820247746861</v>
      </c>
      <c r="M42" s="91">
        <f t="shared" si="2"/>
        <v>0.3196024651269288</v>
      </c>
      <c r="N42" s="92">
        <f t="shared" ref="N42:P42" si="3">N41-N40</f>
        <v>0</v>
      </c>
      <c r="O42" s="92">
        <f t="shared" si="3"/>
        <v>0</v>
      </c>
      <c r="P42" s="92">
        <f t="shared" si="3"/>
        <v>0</v>
      </c>
    </row>
    <row r="47" spans="4:16" x14ac:dyDescent="0.3">
      <c r="K47" s="95"/>
    </row>
    <row r="48" spans="4:16" x14ac:dyDescent="0.3">
      <c r="J48" s="94"/>
      <c r="K48" s="95"/>
    </row>
    <row r="49" spans="11:11" x14ac:dyDescent="0.3">
      <c r="K49" s="95"/>
    </row>
  </sheetData>
  <conditionalFormatting sqref="E22:F23">
    <cfRule type="expression" dxfId="10" priority="11">
      <formula>AND($B22&lt;&gt;"",E22="")</formula>
    </cfRule>
  </conditionalFormatting>
  <conditionalFormatting sqref="E24:F33">
    <cfRule type="expression" dxfId="9" priority="10">
      <formula>AND($B24&lt;&gt;"",E24="")</formula>
    </cfRule>
  </conditionalFormatting>
  <conditionalFormatting sqref="E22:E33">
    <cfRule type="expression" dxfId="8" priority="9">
      <formula>AND($E22&lt;&gt;"",$E22&lt;$F22)</formula>
    </cfRule>
  </conditionalFormatting>
  <conditionalFormatting sqref="F22:F33">
    <cfRule type="expression" dxfId="7" priority="8">
      <formula>AND($F22&lt;&gt;"",$F22&gt;$E22)</formula>
    </cfRule>
  </conditionalFormatting>
  <conditionalFormatting sqref="E7:E19 F8:F19 G9:G19 H10:H19 I11:I19 J12:J19 K13:K19 L14:L19">
    <cfRule type="cellIs" dxfId="6" priority="7" operator="greaterThan">
      <formula>0.5</formula>
    </cfRule>
  </conditionalFormatting>
  <conditionalFormatting sqref="E15:G15">
    <cfRule type="cellIs" dxfId="5" priority="6" operator="greaterThan">
      <formula>0.5</formula>
    </cfRule>
  </conditionalFormatting>
  <conditionalFormatting sqref="M15:M19">
    <cfRule type="cellIs" dxfId="4" priority="5" operator="greaterThan">
      <formula>0.5</formula>
    </cfRule>
  </conditionalFormatting>
  <conditionalFormatting sqref="N16:N19">
    <cfRule type="cellIs" dxfId="3" priority="4" operator="greaterThan">
      <formula>0.5</formula>
    </cfRule>
  </conditionalFormatting>
  <conditionalFormatting sqref="O17:O19">
    <cfRule type="cellIs" dxfId="2" priority="3" operator="greaterThan">
      <formula>0.5</formula>
    </cfRule>
  </conditionalFormatting>
  <conditionalFormatting sqref="P18:P19">
    <cfRule type="cellIs" dxfId="1" priority="2" operator="greaterThan">
      <formula>0.5</formula>
    </cfRule>
  </conditionalFormatting>
  <conditionalFormatting sqref="Q19">
    <cfRule type="cellIs" dxfId="0" priority="1" operator="greaterThan">
      <formula>0.5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62BFF-7181-443F-BF35-304A9EAB564E}">
  <sheetPr codeName="Sheet1"/>
  <dimension ref="A1:M22"/>
  <sheetViews>
    <sheetView workbookViewId="0">
      <selection activeCell="M3" sqref="M3"/>
    </sheetView>
  </sheetViews>
  <sheetFormatPr defaultRowHeight="14.4" x14ac:dyDescent="0.3"/>
  <cols>
    <col min="1" max="1" width="13.6640625" bestFit="1" customWidth="1"/>
    <col min="2" max="2" width="16.109375" bestFit="1" customWidth="1"/>
    <col min="3" max="3" width="17.6640625" bestFit="1" customWidth="1"/>
    <col min="4" max="5" width="11" bestFit="1" customWidth="1"/>
    <col min="6" max="6" width="7.33203125" bestFit="1" customWidth="1"/>
    <col min="12" max="12" width="10.6640625" customWidth="1"/>
    <col min="13" max="13" width="12.88671875" customWidth="1"/>
  </cols>
  <sheetData>
    <row r="1" spans="1:13" x14ac:dyDescent="0.3">
      <c r="A1" t="str">
        <f>IF(SUM(H:H)&gt;=1,"Check Upper and Lower Limits!!","")</f>
        <v/>
      </c>
    </row>
    <row r="2" spans="1:13" x14ac:dyDescent="0.3">
      <c r="A2" t="str">
        <f>Input!B2</f>
        <v>Asset Name</v>
      </c>
      <c r="B2" t="str">
        <f>Input!C2</f>
        <v>Expected Returns</v>
      </c>
      <c r="C2" t="str">
        <f>Input!D2</f>
        <v>Standard Deviation</v>
      </c>
      <c r="D2" t="str">
        <f>Input!E2</f>
        <v>Upper Limit</v>
      </c>
      <c r="E2" t="str">
        <f>Input!F2</f>
        <v>Lower Limit</v>
      </c>
      <c r="F2" t="str">
        <f>Input!G2</f>
        <v>Weight</v>
      </c>
      <c r="H2" t="s">
        <v>19</v>
      </c>
    </row>
    <row r="3" spans="1:13" x14ac:dyDescent="0.3">
      <c r="A3" t="str">
        <f>Input!B3</f>
        <v>US Core RE</v>
      </c>
      <c r="B3">
        <f>Input!C3</f>
        <v>6.5000000000000002E-2</v>
      </c>
      <c r="C3">
        <f>Input!D3</f>
        <v>9.705665536972638E-2</v>
      </c>
      <c r="D3">
        <f>Input!E3</f>
        <v>1</v>
      </c>
      <c r="E3">
        <f>Input!F3</f>
        <v>0</v>
      </c>
      <c r="F3">
        <f>Input!G3</f>
        <v>0</v>
      </c>
      <c r="H3">
        <f>IF(OR(D3&lt;E3,E3&gt;D3),1,0)</f>
        <v>0</v>
      </c>
      <c r="M3" s="50"/>
    </row>
    <row r="4" spans="1:13" x14ac:dyDescent="0.3">
      <c r="A4" t="str">
        <f>Input!B4</f>
        <v>Euro Core RE</v>
      </c>
      <c r="B4">
        <f>Input!C4</f>
        <v>6.4000000000000001E-2</v>
      </c>
      <c r="C4">
        <f>Input!D4</f>
        <v>9.9445456495255033E-2</v>
      </c>
      <c r="D4">
        <f>Input!E4</f>
        <v>1</v>
      </c>
      <c r="E4">
        <f>Input!F4</f>
        <v>0</v>
      </c>
      <c r="F4">
        <f>Input!G4</f>
        <v>0</v>
      </c>
      <c r="H4">
        <f t="shared" ref="H4:H22" si="0">IF(OR(D4&lt;E4,E4&gt;D4),1,0)</f>
        <v>0</v>
      </c>
    </row>
    <row r="5" spans="1:13" x14ac:dyDescent="0.3">
      <c r="A5" t="str">
        <f>Input!B5</f>
        <v>Asia Core RE</v>
      </c>
      <c r="B5">
        <f>Input!C5</f>
        <v>6.3E-2</v>
      </c>
      <c r="C5">
        <f>Input!D5</f>
        <v>9.8641564600530779E-2</v>
      </c>
      <c r="D5">
        <f>Input!E5</f>
        <v>1</v>
      </c>
      <c r="E5">
        <f>Input!F5</f>
        <v>0</v>
      </c>
      <c r="F5">
        <f>Input!G5</f>
        <v>0</v>
      </c>
      <c r="H5">
        <f t="shared" si="0"/>
        <v>0</v>
      </c>
    </row>
    <row r="6" spans="1:13" x14ac:dyDescent="0.3">
      <c r="A6" t="str">
        <f>Input!B6</f>
        <v>US Core+ RE</v>
      </c>
      <c r="B6">
        <f>Input!C6</f>
        <v>7.0000000000000007E-2</v>
      </c>
      <c r="C6">
        <f>Input!D6</f>
        <v>0.13768338834584978</v>
      </c>
      <c r="D6">
        <f>Input!E6</f>
        <v>1</v>
      </c>
      <c r="E6">
        <f>Input!F6</f>
        <v>0</v>
      </c>
      <c r="F6">
        <f>Input!G6</f>
        <v>0</v>
      </c>
      <c r="H6">
        <f t="shared" si="0"/>
        <v>0</v>
      </c>
    </row>
    <row r="7" spans="1:13" x14ac:dyDescent="0.3">
      <c r="A7" t="str">
        <f>Input!B7</f>
        <v>VA RE</v>
      </c>
      <c r="B7">
        <f>Input!C7</f>
        <v>0.08</v>
      </c>
      <c r="C7">
        <f>Input!D7</f>
        <v>0.18067591522234688</v>
      </c>
      <c r="D7">
        <f>Input!E7</f>
        <v>1</v>
      </c>
      <c r="E7">
        <f>Input!F7</f>
        <v>0</v>
      </c>
      <c r="F7">
        <f>Input!G7</f>
        <v>0</v>
      </c>
      <c r="H7">
        <f t="shared" si="0"/>
        <v>0</v>
      </c>
      <c r="M7" s="1"/>
    </row>
    <row r="8" spans="1:13" x14ac:dyDescent="0.3">
      <c r="A8" t="str">
        <f>Input!B8</f>
        <v>Opp RE</v>
      </c>
      <c r="B8">
        <f>Input!C8</f>
        <v>0.09</v>
      </c>
      <c r="C8">
        <f>Input!D8</f>
        <v>0.21137271897277665</v>
      </c>
      <c r="D8">
        <f>Input!E8</f>
        <v>1</v>
      </c>
      <c r="E8">
        <f>Input!F8</f>
        <v>0</v>
      </c>
      <c r="F8">
        <f>Input!G8</f>
        <v>0</v>
      </c>
      <c r="H8">
        <f t="shared" si="0"/>
        <v>0</v>
      </c>
      <c r="M8" s="1"/>
    </row>
    <row r="9" spans="1:13" x14ac:dyDescent="0.3">
      <c r="A9" t="str">
        <f>Input!B9</f>
        <v>Infra</v>
      </c>
      <c r="B9">
        <f>Input!C9</f>
        <v>7.4999999999999997E-2</v>
      </c>
      <c r="C9">
        <f>Input!D9</f>
        <v>0.15238663979278766</v>
      </c>
      <c r="D9">
        <f>Input!E9</f>
        <v>1</v>
      </c>
      <c r="E9">
        <f>Input!F9</f>
        <v>0</v>
      </c>
      <c r="F9">
        <f>Input!G9</f>
        <v>0</v>
      </c>
      <c r="H9">
        <f t="shared" si="0"/>
        <v>0</v>
      </c>
      <c r="M9" s="1"/>
    </row>
    <row r="10" spans="1:13" x14ac:dyDescent="0.3">
      <c r="A10" t="str">
        <f>Input!B10</f>
        <v>Timberland</v>
      </c>
      <c r="B10">
        <f>Input!C10</f>
        <v>0.05</v>
      </c>
      <c r="C10">
        <f>Input!D10</f>
        <v>9.3725955962479776E-2</v>
      </c>
      <c r="D10">
        <f>Input!E10</f>
        <v>1</v>
      </c>
      <c r="E10">
        <f>Input!F10</f>
        <v>0</v>
      </c>
      <c r="F10">
        <f>Input!G10</f>
        <v>0</v>
      </c>
      <c r="H10">
        <f t="shared" si="0"/>
        <v>0</v>
      </c>
    </row>
    <row r="11" spans="1:13" x14ac:dyDescent="0.3">
      <c r="A11" t="str">
        <f>Input!B11</f>
        <v>Row Crops</v>
      </c>
      <c r="B11">
        <f>Input!C11</f>
        <v>0.05</v>
      </c>
      <c r="C11">
        <f>Input!D11</f>
        <v>8.196525805963642E-2</v>
      </c>
      <c r="D11">
        <f>Input!E11</f>
        <v>1</v>
      </c>
      <c r="E11">
        <f>Input!F11</f>
        <v>0</v>
      </c>
      <c r="F11">
        <f>Input!G11</f>
        <v>0</v>
      </c>
      <c r="H11">
        <f t="shared" si="0"/>
        <v>0</v>
      </c>
    </row>
    <row r="12" spans="1:13" x14ac:dyDescent="0.3">
      <c r="A12" t="str">
        <f>Input!B12</f>
        <v>Perm Crops</v>
      </c>
      <c r="B12">
        <f>Input!C12</f>
        <v>6.25E-2</v>
      </c>
      <c r="C12">
        <f>Input!D12</f>
        <v>0.15003713103540986</v>
      </c>
      <c r="D12">
        <f>Input!E12</f>
        <v>1</v>
      </c>
      <c r="E12">
        <f>Input!F12</f>
        <v>0</v>
      </c>
      <c r="F12">
        <f>Input!G12</f>
        <v>0</v>
      </c>
      <c r="H12">
        <f t="shared" si="0"/>
        <v>0</v>
      </c>
    </row>
    <row r="13" spans="1:13" x14ac:dyDescent="0.3">
      <c r="A13" t="str">
        <f>Input!B13</f>
        <v>REITs</v>
      </c>
      <c r="B13">
        <f>Input!C13</f>
        <v>7.0000000000000007E-2</v>
      </c>
      <c r="C13">
        <f>Input!D13</f>
        <v>0.19777287990299294</v>
      </c>
      <c r="D13">
        <f>Input!E13</f>
        <v>1</v>
      </c>
      <c r="E13">
        <f>Input!F13</f>
        <v>0</v>
      </c>
      <c r="F13">
        <f>Input!G13</f>
        <v>0</v>
      </c>
      <c r="H13">
        <f t="shared" si="0"/>
        <v>0</v>
      </c>
    </row>
    <row r="14" spans="1:13" x14ac:dyDescent="0.3">
      <c r="A14" t="str">
        <f>Input!B14</f>
        <v>US Public Eq</v>
      </c>
      <c r="B14">
        <f>Input!C14</f>
        <v>6.5000000000000002E-2</v>
      </c>
      <c r="C14">
        <f>Input!D14</f>
        <v>0.16715247251393101</v>
      </c>
      <c r="D14">
        <f>Input!E14</f>
        <v>0</v>
      </c>
      <c r="E14">
        <f>Input!F14</f>
        <v>0</v>
      </c>
      <c r="F14">
        <f>Input!G14</f>
        <v>0</v>
      </c>
      <c r="H14">
        <f t="shared" si="0"/>
        <v>0</v>
      </c>
    </row>
    <row r="15" spans="1:13" x14ac:dyDescent="0.3">
      <c r="A15" t="str">
        <f>Input!B15</f>
        <v>Fixed Income</v>
      </c>
      <c r="B15">
        <f>Input!C15</f>
        <v>4.7500000000000001E-2</v>
      </c>
      <c r="C15">
        <f>Input!D15</f>
        <v>4.2419450556357756E-2</v>
      </c>
      <c r="D15">
        <f>Input!E15</f>
        <v>0</v>
      </c>
      <c r="E15">
        <f>Input!F15</f>
        <v>0</v>
      </c>
      <c r="F15">
        <f>Input!G15</f>
        <v>0</v>
      </c>
      <c r="H15">
        <f t="shared" si="0"/>
        <v>0</v>
      </c>
    </row>
    <row r="16" spans="1:13" x14ac:dyDescent="0.3">
      <c r="A16" t="str">
        <f>Input!B16</f>
        <v>NCPREC</v>
      </c>
      <c r="B16">
        <f>Input!C16</f>
        <v>7.2499999999999995E-2</v>
      </c>
      <c r="C16">
        <f>Input!D16</f>
        <v>0.13430426499860323</v>
      </c>
      <c r="D16">
        <f>Input!E16</f>
        <v>0</v>
      </c>
      <c r="E16">
        <f>Input!F16</f>
        <v>0</v>
      </c>
      <c r="F16">
        <f>Input!G16</f>
        <v>0</v>
      </c>
      <c r="H16">
        <f t="shared" si="0"/>
        <v>0</v>
      </c>
    </row>
    <row r="17" spans="1:8" x14ac:dyDescent="0.3">
      <c r="A17">
        <f>Input!B17</f>
        <v>0</v>
      </c>
      <c r="B17">
        <f>Input!C17</f>
        <v>0</v>
      </c>
      <c r="C17">
        <f>Input!D17</f>
        <v>0</v>
      </c>
      <c r="D17">
        <f>Input!E17</f>
        <v>0</v>
      </c>
      <c r="E17">
        <f>Input!F17</f>
        <v>0</v>
      </c>
      <c r="F17">
        <f>Input!G17</f>
        <v>0</v>
      </c>
      <c r="H17">
        <f t="shared" si="0"/>
        <v>0</v>
      </c>
    </row>
    <row r="18" spans="1:8" x14ac:dyDescent="0.3">
      <c r="A18">
        <f>Input!B18</f>
        <v>0</v>
      </c>
      <c r="B18">
        <f>Input!C18</f>
        <v>0</v>
      </c>
      <c r="C18">
        <f>Input!D18</f>
        <v>0</v>
      </c>
      <c r="D18">
        <f>Input!E18</f>
        <v>0</v>
      </c>
      <c r="E18">
        <f>Input!F18</f>
        <v>0</v>
      </c>
      <c r="F18">
        <f>Input!G18</f>
        <v>0</v>
      </c>
      <c r="H18">
        <f t="shared" si="0"/>
        <v>0</v>
      </c>
    </row>
    <row r="19" spans="1:8" x14ac:dyDescent="0.3">
      <c r="A19">
        <f>Input!B19</f>
        <v>0</v>
      </c>
      <c r="B19">
        <f>Input!C19</f>
        <v>0</v>
      </c>
      <c r="C19">
        <f>Input!D19</f>
        <v>0</v>
      </c>
      <c r="D19">
        <f>Input!E19</f>
        <v>0</v>
      </c>
      <c r="E19">
        <f>Input!F19</f>
        <v>0</v>
      </c>
      <c r="F19">
        <f>Input!G19</f>
        <v>0</v>
      </c>
      <c r="H19">
        <f t="shared" si="0"/>
        <v>0</v>
      </c>
    </row>
    <row r="20" spans="1:8" x14ac:dyDescent="0.3">
      <c r="A20">
        <f>Input!B20</f>
        <v>0</v>
      </c>
      <c r="B20">
        <f>Input!C20</f>
        <v>0</v>
      </c>
      <c r="C20">
        <f>Input!D20</f>
        <v>0</v>
      </c>
      <c r="D20">
        <f>Input!E20</f>
        <v>0</v>
      </c>
      <c r="E20">
        <f>Input!F20</f>
        <v>0</v>
      </c>
      <c r="F20">
        <f>Input!G20</f>
        <v>0</v>
      </c>
      <c r="H20">
        <f t="shared" si="0"/>
        <v>0</v>
      </c>
    </row>
    <row r="21" spans="1:8" x14ac:dyDescent="0.3">
      <c r="A21">
        <f>Input!B21</f>
        <v>0</v>
      </c>
      <c r="B21">
        <f>Input!C21</f>
        <v>0</v>
      </c>
      <c r="C21">
        <f>Input!D21</f>
        <v>0</v>
      </c>
      <c r="D21">
        <f>Input!E21</f>
        <v>0</v>
      </c>
      <c r="E21">
        <f>Input!F21</f>
        <v>0</v>
      </c>
      <c r="F21">
        <f>Input!G21</f>
        <v>0</v>
      </c>
      <c r="H21">
        <f t="shared" si="0"/>
        <v>0</v>
      </c>
    </row>
    <row r="22" spans="1:8" x14ac:dyDescent="0.3">
      <c r="A22">
        <f>Input!B22</f>
        <v>0</v>
      </c>
      <c r="B22">
        <f>Input!C22</f>
        <v>0</v>
      </c>
      <c r="C22">
        <f>Input!D22</f>
        <v>0</v>
      </c>
      <c r="D22">
        <f>Input!E22</f>
        <v>0</v>
      </c>
      <c r="E22">
        <f>Input!F22</f>
        <v>0</v>
      </c>
      <c r="F22">
        <f>Input!G22</f>
        <v>0</v>
      </c>
      <c r="H22">
        <f t="shared" si="0"/>
        <v>0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Input</vt:lpstr>
      <vt:lpstr>Results</vt:lpstr>
      <vt:lpstr>Sheet2</vt:lpstr>
      <vt:lpstr>Sheet1</vt:lpstr>
      <vt:lpstr>Columns</vt:lpstr>
      <vt:lpstr>Data_Array</vt:lpstr>
      <vt:lpstr>Exp_Ret_List</vt:lpstr>
      <vt:lpstr>Exp_Std_List</vt:lpstr>
      <vt:lpstr>InputLength</vt:lpstr>
      <vt:lpstr>Rows</vt:lpstr>
      <vt:lpstr>Targ_Ret</vt:lpstr>
      <vt:lpstr>Target</vt:lpstr>
      <vt:lpstr>Target_Max</vt:lpstr>
      <vt:lpstr>Target_Min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nmone</dc:creator>
  <cp:lastModifiedBy>Martin Rosenberg</cp:lastModifiedBy>
  <dcterms:created xsi:type="dcterms:W3CDTF">2014-10-10T13:29:28Z</dcterms:created>
  <dcterms:modified xsi:type="dcterms:W3CDTF">2025-07-02T20:21:19Z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043f10a-881e-4653-a55e-02ca2cc829dc_Enabled">
    <vt:lpwstr>true</vt:lpwstr>
  </property>
  <property fmtid="{D5CDD505-2E9C-101B-9397-08002B2CF9AE}" pid="3" name="MSIP_Label_9043f10a-881e-4653-a55e-02ca2cc829dc_SetDate">
    <vt:lpwstr>2024-07-23T20:24:30Z</vt:lpwstr>
  </property>
  <property fmtid="{D5CDD505-2E9C-101B-9397-08002B2CF9AE}" pid="4" name="MSIP_Label_9043f10a-881e-4653-a55e-02ca2cc829dc_Method">
    <vt:lpwstr>Standard</vt:lpwstr>
  </property>
  <property fmtid="{D5CDD505-2E9C-101B-9397-08002B2CF9AE}" pid="5" name="MSIP_Label_9043f10a-881e-4653-a55e-02ca2cc829dc_Name">
    <vt:lpwstr>ADC_class_200</vt:lpwstr>
  </property>
  <property fmtid="{D5CDD505-2E9C-101B-9397-08002B2CF9AE}" pid="6" name="MSIP_Label_9043f10a-881e-4653-a55e-02ca2cc829dc_SiteId">
    <vt:lpwstr>94cfddbc-0627-494a-ad7a-29aea3aea832</vt:lpwstr>
  </property>
  <property fmtid="{D5CDD505-2E9C-101B-9397-08002B2CF9AE}" pid="7" name="MSIP_Label_9043f10a-881e-4653-a55e-02ca2cc829dc_ActionId">
    <vt:lpwstr>51579edf-ccfc-4b80-b82d-c8cf06237d7a</vt:lpwstr>
  </property>
  <property fmtid="{D5CDD505-2E9C-101B-9397-08002B2CF9AE}" pid="8" name="MSIP_Label_9043f10a-881e-4653-a55e-02ca2cc829dc_ContentBits">
    <vt:lpwstr>0</vt:lpwstr>
  </property>
  <property fmtid="{D5CDD505-2E9C-101B-9397-08002B2CF9AE}" pid="9" name="MSIP_Label_defa4170-0d19-0005-0004-bc88714345d2_Enabled">
    <vt:lpwstr>true</vt:lpwstr>
  </property>
  <property fmtid="{D5CDD505-2E9C-101B-9397-08002B2CF9AE}" pid="10" name="MSIP_Label_defa4170-0d19-0005-0004-bc88714345d2_SetDate">
    <vt:lpwstr>2025-07-02T20:16:53Z</vt:lpwstr>
  </property>
  <property fmtid="{D5CDD505-2E9C-101B-9397-08002B2CF9AE}" pid="11" name="MSIP_Label_defa4170-0d19-0005-0004-bc88714345d2_Method">
    <vt:lpwstr>Standard</vt:lpwstr>
  </property>
  <property fmtid="{D5CDD505-2E9C-101B-9397-08002B2CF9AE}" pid="12" name="MSIP_Label_defa4170-0d19-0005-0004-bc88714345d2_Name">
    <vt:lpwstr>defa4170-0d19-0005-0004-bc88714345d2</vt:lpwstr>
  </property>
  <property fmtid="{D5CDD505-2E9C-101B-9397-08002B2CF9AE}" pid="13" name="MSIP_Label_defa4170-0d19-0005-0004-bc88714345d2_SiteId">
    <vt:lpwstr>c1adae11-f6b8-4cc8-a936-ac44c2e31d5d</vt:lpwstr>
  </property>
  <property fmtid="{D5CDD505-2E9C-101B-9397-08002B2CF9AE}" pid="14" name="MSIP_Label_defa4170-0d19-0005-0004-bc88714345d2_ActionId">
    <vt:lpwstr>0d42696d-68d4-4324-ac9e-4604c7051a92</vt:lpwstr>
  </property>
  <property fmtid="{D5CDD505-2E9C-101B-9397-08002B2CF9AE}" pid="15" name="MSIP_Label_defa4170-0d19-0005-0004-bc88714345d2_ContentBits">
    <vt:lpwstr>0</vt:lpwstr>
  </property>
  <property fmtid="{D5CDD505-2E9C-101B-9397-08002B2CF9AE}" pid="16" name="MSIP_Label_defa4170-0d19-0005-0004-bc88714345d2_Tag">
    <vt:lpwstr>10, 3, 0, 1</vt:lpwstr>
  </property>
</Properties>
</file>