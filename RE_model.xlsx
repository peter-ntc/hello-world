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7c69a2147807cf63/Documents/_RE_Forecast/data/"/>
    </mc:Choice>
  </mc:AlternateContent>
  <xr:revisionPtr revIDLastSave="151" documentId="13_ncr:1_{8BBCA5F1-A4B9-4E33-8961-BD8EFC00B0D5}" xr6:coauthVersionLast="47" xr6:coauthVersionMax="47" xr10:uidLastSave="{703CF179-C02D-4EA8-98C4-A81F63557D7F}"/>
  <bookViews>
    <workbookView xWindow="-120" yWindow="-120" windowWidth="29040" windowHeight="15720" activeTab="2" xr2:uid="{00000000-000D-0000-FFFF-FFFF00000000}"/>
    <workbookView xWindow="28680" yWindow="-120" windowWidth="29040" windowHeight="15720" activeTab="8" xr2:uid="{4940B201-068A-429B-97FF-11685BD4C8A6}"/>
  </bookViews>
  <sheets>
    <sheet name="T_Base" sheetId="9" r:id="rId1"/>
    <sheet name="CoreFunds" sheetId="7" r:id="rId2"/>
    <sheet name="Base" sheetId="1" r:id="rId3"/>
    <sheet name="compare" sheetId="8" r:id="rId4"/>
    <sheet name="tmp" sheetId="5" r:id="rId5"/>
    <sheet name="port3YR" sheetId="2" r:id="rId6"/>
    <sheet name="port6YR" sheetId="3" r:id="rId7"/>
    <sheet name="6 YR Sum" sheetId="11" r:id="rId8"/>
    <sheet name="3 YR Sum" sheetId="12" r:id="rId9"/>
  </sheets>
  <definedNames>
    <definedName name="solver_adj" localSheetId="8" hidden="1">'3 YR Sum'!#REF!</definedName>
    <definedName name="solver_adj" localSheetId="7" hidden="1">'6 YR Sum'!#REF!</definedName>
    <definedName name="solver_adj" localSheetId="2" hidden="1">Base!#REF!</definedName>
    <definedName name="solver_adj" localSheetId="0" hidden="1">T_Base!#REF!</definedName>
    <definedName name="solver_adj" localSheetId="4" hidden="1">tmp!#REF!</definedName>
    <definedName name="solver_cvg" localSheetId="8" hidden="1">0.0001</definedName>
    <definedName name="solver_cvg" localSheetId="7" hidden="1">0.0001</definedName>
    <definedName name="solver_cvg" localSheetId="2" hidden="1">0.0001</definedName>
    <definedName name="solver_cvg" localSheetId="0" hidden="1">0.0001</definedName>
    <definedName name="solver_cvg" localSheetId="4" hidden="1">0.0001</definedName>
    <definedName name="solver_drv" localSheetId="8" hidden="1">1</definedName>
    <definedName name="solver_drv" localSheetId="7" hidden="1">1</definedName>
    <definedName name="solver_drv" localSheetId="2" hidden="1">1</definedName>
    <definedName name="solver_drv" localSheetId="0" hidden="1">1</definedName>
    <definedName name="solver_drv" localSheetId="4" hidden="1">1</definedName>
    <definedName name="solver_eng" localSheetId="8" hidden="1">1</definedName>
    <definedName name="solver_eng" localSheetId="7" hidden="1">1</definedName>
    <definedName name="solver_eng" localSheetId="2" hidden="1">1</definedName>
    <definedName name="solver_eng" localSheetId="0" hidden="1">1</definedName>
    <definedName name="solver_eng" localSheetId="4" hidden="1">1</definedName>
    <definedName name="solver_est" localSheetId="8" hidden="1">1</definedName>
    <definedName name="solver_est" localSheetId="7" hidden="1">1</definedName>
    <definedName name="solver_est" localSheetId="2" hidden="1">1</definedName>
    <definedName name="solver_est" localSheetId="0" hidden="1">1</definedName>
    <definedName name="solver_est" localSheetId="4" hidden="1">1</definedName>
    <definedName name="solver_itr" localSheetId="8" hidden="1">2147483647</definedName>
    <definedName name="solver_itr" localSheetId="7" hidden="1">2147483647</definedName>
    <definedName name="solver_itr" localSheetId="2" hidden="1">2147483647</definedName>
    <definedName name="solver_itr" localSheetId="0" hidden="1">2147483647</definedName>
    <definedName name="solver_itr" localSheetId="4" hidden="1">2147483647</definedName>
    <definedName name="solver_lhs1" localSheetId="4" hidden="1">tmp!$E$25</definedName>
    <definedName name="solver_lhs2" localSheetId="4" hidden="1">tmp!$E$26</definedName>
    <definedName name="solver_lhs3" localSheetId="4" hidden="1">tmp!#REF!</definedName>
    <definedName name="solver_lhs4" localSheetId="4" hidden="1">tmp!#REF!</definedName>
    <definedName name="solver_lhs5" localSheetId="4" hidden="1">tmp!#REF!</definedName>
    <definedName name="solver_lhs6" localSheetId="4" hidden="1">tmp!#REF!</definedName>
    <definedName name="solver_lhs7" localSheetId="4" hidden="1">tmp!#REF!</definedName>
    <definedName name="solver_lhs8" localSheetId="4" hidden="1">tmp!#REF!</definedName>
    <definedName name="solver_mip" localSheetId="8" hidden="1">2147483647</definedName>
    <definedName name="solver_mip" localSheetId="7" hidden="1">2147483647</definedName>
    <definedName name="solver_mip" localSheetId="2" hidden="1">2147483647</definedName>
    <definedName name="solver_mip" localSheetId="0" hidden="1">2147483647</definedName>
    <definedName name="solver_mip" localSheetId="4" hidden="1">2147483647</definedName>
    <definedName name="solver_mni" localSheetId="8" hidden="1">30</definedName>
    <definedName name="solver_mni" localSheetId="7" hidden="1">30</definedName>
    <definedName name="solver_mni" localSheetId="2" hidden="1">30</definedName>
    <definedName name="solver_mni" localSheetId="0" hidden="1">30</definedName>
    <definedName name="solver_mni" localSheetId="4" hidden="1">30</definedName>
    <definedName name="solver_mrt" localSheetId="8" hidden="1">0.075</definedName>
    <definedName name="solver_mrt" localSheetId="7" hidden="1">0.075</definedName>
    <definedName name="solver_mrt" localSheetId="2" hidden="1">0.075</definedName>
    <definedName name="solver_mrt" localSheetId="0" hidden="1">0.075</definedName>
    <definedName name="solver_mrt" localSheetId="4" hidden="1">0.075</definedName>
    <definedName name="solver_msl" localSheetId="8" hidden="1">2</definedName>
    <definedName name="solver_msl" localSheetId="7" hidden="1">2</definedName>
    <definedName name="solver_msl" localSheetId="2" hidden="1">2</definedName>
    <definedName name="solver_msl" localSheetId="0" hidden="1">2</definedName>
    <definedName name="solver_msl" localSheetId="4" hidden="1">2</definedName>
    <definedName name="solver_neg" localSheetId="8" hidden="1">1</definedName>
    <definedName name="solver_neg" localSheetId="7" hidden="1">1</definedName>
    <definedName name="solver_neg" localSheetId="2" hidden="1">1</definedName>
    <definedName name="solver_neg" localSheetId="0" hidden="1">1</definedName>
    <definedName name="solver_neg" localSheetId="4" hidden="1">1</definedName>
    <definedName name="solver_nod" localSheetId="8" hidden="1">2147483647</definedName>
    <definedName name="solver_nod" localSheetId="7" hidden="1">2147483647</definedName>
    <definedName name="solver_nod" localSheetId="2" hidden="1">2147483647</definedName>
    <definedName name="solver_nod" localSheetId="0" hidden="1">2147483647</definedName>
    <definedName name="solver_nod" localSheetId="4" hidden="1">2147483647</definedName>
    <definedName name="solver_num" localSheetId="8" hidden="1">0</definedName>
    <definedName name="solver_num" localSheetId="7" hidden="1">0</definedName>
    <definedName name="solver_num" localSheetId="2" hidden="1">0</definedName>
    <definedName name="solver_num" localSheetId="0" hidden="1">0</definedName>
    <definedName name="solver_num" localSheetId="4" hidden="1">8</definedName>
    <definedName name="solver_nwt" localSheetId="8" hidden="1">1</definedName>
    <definedName name="solver_nwt" localSheetId="7" hidden="1">1</definedName>
    <definedName name="solver_nwt" localSheetId="2" hidden="1">1</definedName>
    <definedName name="solver_nwt" localSheetId="0" hidden="1">1</definedName>
    <definedName name="solver_nwt" localSheetId="4" hidden="1">1</definedName>
    <definedName name="solver_opt" localSheetId="8" hidden="1">'3 YR Sum'!#REF!</definedName>
    <definedName name="solver_opt" localSheetId="7" hidden="1">'6 YR Sum'!#REF!</definedName>
    <definedName name="solver_opt" localSheetId="2" hidden="1">Base!$CX$3</definedName>
    <definedName name="solver_opt" localSheetId="0" hidden="1">T_Base!$CT$3</definedName>
    <definedName name="solver_opt" localSheetId="4" hidden="1">tmp!$E$24</definedName>
    <definedName name="solver_pre" localSheetId="8" hidden="1">0.000001</definedName>
    <definedName name="solver_pre" localSheetId="7" hidden="1">0.000001</definedName>
    <definedName name="solver_pre" localSheetId="2" hidden="1">0.000001</definedName>
    <definedName name="solver_pre" localSheetId="0" hidden="1">0.000001</definedName>
    <definedName name="solver_pre" localSheetId="4" hidden="1">0.000001</definedName>
    <definedName name="solver_rbv" localSheetId="8" hidden="1">1</definedName>
    <definedName name="solver_rbv" localSheetId="7" hidden="1">1</definedName>
    <definedName name="solver_rbv" localSheetId="2" hidden="1">1</definedName>
    <definedName name="solver_rbv" localSheetId="0" hidden="1">1</definedName>
    <definedName name="solver_rbv" localSheetId="4" hidden="1">1</definedName>
    <definedName name="solver_rel1" localSheetId="4" hidden="1">1</definedName>
    <definedName name="solver_rel2" localSheetId="4" hidden="1">3</definedName>
    <definedName name="solver_rel3" localSheetId="4" hidden="1">2</definedName>
    <definedName name="solver_rel4" localSheetId="4" hidden="1">4</definedName>
    <definedName name="solver_rel5" localSheetId="4" hidden="1">3</definedName>
    <definedName name="solver_rel6" localSheetId="4" hidden="1">3</definedName>
    <definedName name="solver_rel7" localSheetId="4" hidden="1">3</definedName>
    <definedName name="solver_rel8" localSheetId="4" hidden="1">3</definedName>
    <definedName name="solver_rhs1" localSheetId="4" hidden="1">tmp!#REF!</definedName>
    <definedName name="solver_rhs2" localSheetId="4" hidden="1">tmp!#REF!</definedName>
    <definedName name="solver_rhs3" localSheetId="4" hidden="1">100</definedName>
    <definedName name="solver_rhs4" localSheetId="4" hidden="1">"integer"</definedName>
    <definedName name="solver_rhs5" localSheetId="4" hidden="1">tmp!#REF!</definedName>
    <definedName name="solver_rhs6" localSheetId="4" hidden="1">tmp!#REF!</definedName>
    <definedName name="solver_rhs7" localSheetId="4" hidden="1">tmp!#REF!</definedName>
    <definedName name="solver_rhs8" localSheetId="4" hidden="1">tmp!#REF!</definedName>
    <definedName name="solver_rlx" localSheetId="8" hidden="1">2</definedName>
    <definedName name="solver_rlx" localSheetId="7" hidden="1">2</definedName>
    <definedName name="solver_rlx" localSheetId="2" hidden="1">2</definedName>
    <definedName name="solver_rlx" localSheetId="0" hidden="1">2</definedName>
    <definedName name="solver_rlx" localSheetId="4" hidden="1">2</definedName>
    <definedName name="solver_rsd" localSheetId="8" hidden="1">0</definedName>
    <definedName name="solver_rsd" localSheetId="7" hidden="1">0</definedName>
    <definedName name="solver_rsd" localSheetId="2" hidden="1">0</definedName>
    <definedName name="solver_rsd" localSheetId="0" hidden="1">0</definedName>
    <definedName name="solver_rsd" localSheetId="4" hidden="1">0</definedName>
    <definedName name="solver_scl" localSheetId="8" hidden="1">1</definedName>
    <definedName name="solver_scl" localSheetId="7" hidden="1">1</definedName>
    <definedName name="solver_scl" localSheetId="2" hidden="1">1</definedName>
    <definedName name="solver_scl" localSheetId="0" hidden="1">1</definedName>
    <definedName name="solver_scl" localSheetId="4" hidden="1">1</definedName>
    <definedName name="solver_sho" localSheetId="8" hidden="1">2</definedName>
    <definedName name="solver_sho" localSheetId="7" hidden="1">2</definedName>
    <definedName name="solver_sho" localSheetId="2" hidden="1">2</definedName>
    <definedName name="solver_sho" localSheetId="0" hidden="1">2</definedName>
    <definedName name="solver_sho" localSheetId="4" hidden="1">2</definedName>
    <definedName name="solver_ssz" localSheetId="8" hidden="1">100</definedName>
    <definedName name="solver_ssz" localSheetId="7" hidden="1">100</definedName>
    <definedName name="solver_ssz" localSheetId="2" hidden="1">100</definedName>
    <definedName name="solver_ssz" localSheetId="0" hidden="1">100</definedName>
    <definedName name="solver_ssz" localSheetId="4" hidden="1">100</definedName>
    <definedName name="solver_tim" localSheetId="8" hidden="1">2147483647</definedName>
    <definedName name="solver_tim" localSheetId="7" hidden="1">2147483647</definedName>
    <definedName name="solver_tim" localSheetId="2" hidden="1">2147483647</definedName>
    <definedName name="solver_tim" localSheetId="0" hidden="1">2147483647</definedName>
    <definedName name="solver_tim" localSheetId="4" hidden="1">2147483647</definedName>
    <definedName name="solver_tol" localSheetId="8" hidden="1">0.01</definedName>
    <definedName name="solver_tol" localSheetId="7" hidden="1">0.01</definedName>
    <definedName name="solver_tol" localSheetId="2" hidden="1">0.01</definedName>
    <definedName name="solver_tol" localSheetId="0" hidden="1">0.01</definedName>
    <definedName name="solver_tol" localSheetId="4" hidden="1">0.01</definedName>
    <definedName name="solver_typ" localSheetId="8" hidden="1">3</definedName>
    <definedName name="solver_typ" localSheetId="7" hidden="1">3</definedName>
    <definedName name="solver_typ" localSheetId="2" hidden="1">3</definedName>
    <definedName name="solver_typ" localSheetId="0" hidden="1">3</definedName>
    <definedName name="solver_typ" localSheetId="4" hidden="1">1</definedName>
    <definedName name="solver_val" localSheetId="8" hidden="1">0.065</definedName>
    <definedName name="solver_val" localSheetId="7" hidden="1">0.065</definedName>
    <definedName name="solver_val" localSheetId="2" hidden="1">0.065</definedName>
    <definedName name="solver_val" localSheetId="0" hidden="1">0.065</definedName>
    <definedName name="solver_val" localSheetId="4" hidden="1">0</definedName>
    <definedName name="solver_ver" localSheetId="8" hidden="1">3</definedName>
    <definedName name="solver_ver" localSheetId="7" hidden="1">3</definedName>
    <definedName name="solver_ver" localSheetId="2" hidden="1">3</definedName>
    <definedName name="solver_ver" localSheetId="0" hidden="1">3</definedName>
    <definedName name="solver_ver" localSheetId="4" hidden="1">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2" i="1" l="1"/>
  <c r="P62" i="1"/>
  <c r="Q62" i="1"/>
  <c r="R62" i="1"/>
  <c r="S62" i="1"/>
  <c r="N62" i="1"/>
  <c r="J24" i="12"/>
  <c r="E24" i="12"/>
  <c r="D24" i="12"/>
  <c r="A24" i="1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J24" i="11"/>
  <c r="D24" i="11"/>
  <c r="E24" i="11" s="1"/>
  <c r="A24" i="11"/>
  <c r="A4" i="11"/>
  <c r="A5" i="11" l="1"/>
  <c r="A6" i="11" l="1"/>
  <c r="A7" i="11" l="1"/>
  <c r="A8" i="11" l="1"/>
  <c r="A9" i="11" l="1"/>
  <c r="A10" i="11" l="1"/>
  <c r="A11" i="11" l="1"/>
  <c r="A12" i="11" l="1"/>
  <c r="A13" i="11" l="1"/>
  <c r="A14" i="11" l="1"/>
  <c r="A15" i="11" l="1"/>
  <c r="A16" i="11" l="1"/>
  <c r="A17" i="11" l="1"/>
  <c r="A18" i="11" l="1"/>
  <c r="A19" i="11" l="1"/>
  <c r="A20" i="11" l="1"/>
  <c r="A21" i="11" l="1"/>
  <c r="CJ62" i="1" l="1"/>
  <c r="BN62" i="1"/>
  <c r="AZ62" i="1"/>
  <c r="AS62" i="1" a="1"/>
  <c r="AS62" i="1" s="1"/>
  <c r="AR62" i="1" a="1"/>
  <c r="AR62" i="1" s="1"/>
  <c r="F62" i="1"/>
  <c r="A62" i="1"/>
  <c r="BV62" i="1" s="1"/>
  <c r="F24" i="11" l="1"/>
  <c r="F24" i="12"/>
  <c r="CC62" i="1"/>
  <c r="I62" i="1" l="1"/>
  <c r="L62" i="1" s="1"/>
  <c r="DF62" i="1"/>
  <c r="I48" i="9"/>
  <c r="H48" i="9"/>
  <c r="G48" i="9"/>
  <c r="F48" i="9"/>
  <c r="E48" i="9"/>
  <c r="D48" i="9"/>
  <c r="I42" i="9"/>
  <c r="H42" i="9"/>
  <c r="G42" i="9"/>
  <c r="F42" i="9"/>
  <c r="E42" i="9"/>
  <c r="D42" i="9"/>
  <c r="I36" i="9"/>
  <c r="H36" i="9"/>
  <c r="G36" i="9"/>
  <c r="F36" i="9"/>
  <c r="E36" i="9"/>
  <c r="D36" i="9"/>
  <c r="I32" i="9"/>
  <c r="F32" i="9"/>
  <c r="I30" i="9"/>
  <c r="H30" i="9"/>
  <c r="G30" i="9"/>
  <c r="F30" i="9"/>
  <c r="E30" i="9"/>
  <c r="D30" i="9"/>
  <c r="AM29" i="9"/>
  <c r="AL29" i="9"/>
  <c r="AI29" i="9"/>
  <c r="I29" i="9"/>
  <c r="H29" i="9"/>
  <c r="G29" i="9"/>
  <c r="Q21" i="9" s="1"/>
  <c r="CU21" i="9" s="1"/>
  <c r="F29" i="9"/>
  <c r="U23" i="9" s="1" a="1"/>
  <c r="U23" i="9" s="1"/>
  <c r="E29" i="9"/>
  <c r="O20" i="9" s="1"/>
  <c r="D29" i="9"/>
  <c r="AH29" i="9" s="1"/>
  <c r="CA23" i="9"/>
  <c r="BZ23" i="9"/>
  <c r="BV23" i="9"/>
  <c r="BT23" i="9"/>
  <c r="BS23" i="9"/>
  <c r="CV21" i="9"/>
  <c r="CF21" i="9"/>
  <c r="CK21" i="9" s="1"/>
  <c r="CY21" i="9" s="1"/>
  <c r="BJ21" i="9"/>
  <c r="AV21" i="9"/>
  <c r="AO21" i="9" a="1"/>
  <c r="AO21" i="9" s="1"/>
  <c r="AN21" i="9" a="1"/>
  <c r="AN21" i="9" s="1"/>
  <c r="S21" i="9"/>
  <c r="R21" i="9"/>
  <c r="P21" i="9"/>
  <c r="O21" i="9"/>
  <c r="N21" i="9"/>
  <c r="F21" i="9"/>
  <c r="BB21" i="9" s="1"/>
  <c r="CF20" i="9"/>
  <c r="BJ20" i="9"/>
  <c r="AV20" i="9"/>
  <c r="AO20" i="9" a="1"/>
  <c r="AO20" i="9" s="1"/>
  <c r="AN20" i="9" a="1"/>
  <c r="AN20" i="9" s="1"/>
  <c r="T20" i="9" a="1"/>
  <c r="T20" i="9" s="1"/>
  <c r="S20" i="9"/>
  <c r="CV20" i="9" s="1"/>
  <c r="R20" i="9"/>
  <c r="P20" i="9"/>
  <c r="N20" i="9"/>
  <c r="F20" i="9"/>
  <c r="BB20" i="9" s="1"/>
  <c r="CV19" i="9"/>
  <c r="CK19" i="9"/>
  <c r="CY19" i="9" s="1"/>
  <c r="CF19" i="9"/>
  <c r="CJ19" i="9" s="1"/>
  <c r="BJ19" i="9"/>
  <c r="AV19" i="9"/>
  <c r="AO19" i="9" a="1"/>
  <c r="AO19" i="9" s="1"/>
  <c r="AN19" i="9" a="1"/>
  <c r="AN19" i="9" s="1"/>
  <c r="S19" i="9"/>
  <c r="R19" i="9"/>
  <c r="P19" i="9"/>
  <c r="O19" i="9"/>
  <c r="N19" i="9"/>
  <c r="T19" i="9" s="1" a="1"/>
  <c r="T19" i="9" s="1"/>
  <c r="F19" i="9"/>
  <c r="CK18" i="9"/>
  <c r="CY18" i="9" s="1"/>
  <c r="CF18" i="9"/>
  <c r="CJ18" i="9" s="1"/>
  <c r="BJ18" i="9"/>
  <c r="AV18" i="9"/>
  <c r="AO18" i="9" a="1"/>
  <c r="AO18" i="9" s="1"/>
  <c r="AN18" i="9" a="1"/>
  <c r="AN18" i="9" s="1"/>
  <c r="S18" i="9"/>
  <c r="CV18" i="9" s="1"/>
  <c r="R18" i="9"/>
  <c r="P18" i="9"/>
  <c r="N18" i="9"/>
  <c r="F18" i="9"/>
  <c r="AW18" i="9" s="1"/>
  <c r="CV17" i="9"/>
  <c r="CK17" i="9"/>
  <c r="CY17" i="9" s="1"/>
  <c r="CF17" i="9"/>
  <c r="CJ17" i="9" s="1"/>
  <c r="BJ17" i="9"/>
  <c r="AV17" i="9"/>
  <c r="AO17" i="9" a="1"/>
  <c r="AO17" i="9" s="1"/>
  <c r="AN17" i="9" a="1"/>
  <c r="AN17" i="9" s="1"/>
  <c r="S17" i="9"/>
  <c r="R17" i="9"/>
  <c r="P17" i="9"/>
  <c r="O17" i="9"/>
  <c r="N17" i="9"/>
  <c r="F17" i="9"/>
  <c r="CF16" i="9"/>
  <c r="CJ16" i="9" s="1"/>
  <c r="BJ16" i="9"/>
  <c r="AV16" i="9"/>
  <c r="AO16" i="9" a="1"/>
  <c r="AO16" i="9" s="1"/>
  <c r="AN16" i="9" a="1"/>
  <c r="AN16" i="9" s="1"/>
  <c r="S16" i="9"/>
  <c r="CV16" i="9" s="1"/>
  <c r="R16" i="9"/>
  <c r="P16" i="9"/>
  <c r="N16" i="9"/>
  <c r="F16" i="9"/>
  <c r="AW16" i="9" s="1"/>
  <c r="CV15" i="9"/>
  <c r="CF15" i="9"/>
  <c r="BJ15" i="9"/>
  <c r="AV15" i="9"/>
  <c r="AO15" i="9" a="1"/>
  <c r="AO15" i="9" s="1"/>
  <c r="AN15" i="9" a="1"/>
  <c r="AN15" i="9" s="1"/>
  <c r="S15" i="9"/>
  <c r="R15" i="9"/>
  <c r="P15" i="9"/>
  <c r="O15" i="9"/>
  <c r="N15" i="9"/>
  <c r="T15" i="9" s="1" a="1"/>
  <c r="T15" i="9" s="1"/>
  <c r="F15" i="9"/>
  <c r="CK14" i="9"/>
  <c r="CY14" i="9" s="1"/>
  <c r="CF14" i="9"/>
  <c r="CJ14" i="9" s="1"/>
  <c r="BJ14" i="9"/>
  <c r="AV14" i="9"/>
  <c r="AO14" i="9" a="1"/>
  <c r="AO14" i="9" s="1"/>
  <c r="AN14" i="9" a="1"/>
  <c r="AN14" i="9" s="1"/>
  <c r="S14" i="9"/>
  <c r="CV14" i="9" s="1"/>
  <c r="R14" i="9"/>
  <c r="P14" i="9"/>
  <c r="O14" i="9"/>
  <c r="N14" i="9"/>
  <c r="F14" i="9"/>
  <c r="CV13" i="9"/>
  <c r="CF13" i="9"/>
  <c r="CJ13" i="9" s="1"/>
  <c r="BJ13" i="9"/>
  <c r="AV13" i="9"/>
  <c r="AO13" i="9" a="1"/>
  <c r="AO13" i="9" s="1"/>
  <c r="AN13" i="9" a="1"/>
  <c r="AN13" i="9" s="1"/>
  <c r="S13" i="9"/>
  <c r="R13" i="9"/>
  <c r="P13" i="9"/>
  <c r="O13" i="9"/>
  <c r="N13" i="9"/>
  <c r="F13" i="9"/>
  <c r="BB13" i="9" s="1"/>
  <c r="CM13" i="9" s="1"/>
  <c r="CK12" i="9"/>
  <c r="CF12" i="9"/>
  <c r="CJ12" i="9" s="1"/>
  <c r="BJ12" i="9"/>
  <c r="AV12" i="9"/>
  <c r="AO12" i="9" a="1"/>
  <c r="AO12" i="9" s="1"/>
  <c r="AN12" i="9" a="1"/>
  <c r="AN12" i="9" s="1"/>
  <c r="T12" i="9" a="1"/>
  <c r="T12" i="9" s="1"/>
  <c r="S12" i="9"/>
  <c r="CV12" i="9" s="1"/>
  <c r="R12" i="9"/>
  <c r="P12" i="9"/>
  <c r="O12" i="9"/>
  <c r="N12" i="9"/>
  <c r="F12" i="9"/>
  <c r="AW12" i="9" s="1"/>
  <c r="AX12" i="9" s="1"/>
  <c r="CK11" i="9"/>
  <c r="CY11" i="9" s="1"/>
  <c r="CF11" i="9"/>
  <c r="BJ11" i="9"/>
  <c r="AW11" i="9"/>
  <c r="AV11" i="9"/>
  <c r="AO11" i="9"/>
  <c r="AO11" i="9" a="1"/>
  <c r="AN11" i="9"/>
  <c r="AN11" i="9" a="1"/>
  <c r="S11" i="9"/>
  <c r="CV11" i="9" s="1"/>
  <c r="R11" i="9"/>
  <c r="Q11" i="9"/>
  <c r="CU11" i="9" s="1"/>
  <c r="CX11" i="9" s="1"/>
  <c r="H11" i="9" s="1"/>
  <c r="K11" i="9" s="1"/>
  <c r="P11" i="9"/>
  <c r="O11" i="9"/>
  <c r="N11" i="9"/>
  <c r="F11" i="9"/>
  <c r="BB11" i="9" s="1"/>
  <c r="CV10" i="9"/>
  <c r="CJ10" i="9"/>
  <c r="CF10" i="9"/>
  <c r="CK10" i="9" s="1"/>
  <c r="CY10" i="9" s="1"/>
  <c r="I10" i="9" s="1"/>
  <c r="L10" i="9" s="1"/>
  <c r="BJ10" i="9"/>
  <c r="AV10" i="9"/>
  <c r="AO10" i="9"/>
  <c r="AO10" i="9" a="1"/>
  <c r="AN10" i="9"/>
  <c r="AN10" i="9" a="1"/>
  <c r="T10" i="9"/>
  <c r="T10" i="9" a="1"/>
  <c r="S10" i="9"/>
  <c r="R10" i="9"/>
  <c r="Q10" i="9"/>
  <c r="CU10" i="9" s="1"/>
  <c r="P10" i="9"/>
  <c r="O10" i="9"/>
  <c r="N10" i="9"/>
  <c r="U10" i="9" s="1" a="1"/>
  <c r="U10" i="9" s="1"/>
  <c r="F10" i="9"/>
  <c r="BB10" i="9" s="1"/>
  <c r="CY9" i="9"/>
  <c r="DB9" i="9" s="1"/>
  <c r="CV9" i="9"/>
  <c r="CJ9" i="9"/>
  <c r="CF9" i="9"/>
  <c r="CK9" i="9" s="1"/>
  <c r="BJ9" i="9"/>
  <c r="AV9" i="9"/>
  <c r="AO9" i="9"/>
  <c r="AO9" i="9" a="1"/>
  <c r="AN9" i="9" a="1"/>
  <c r="AN9" i="9" s="1"/>
  <c r="S9" i="9"/>
  <c r="R9" i="9"/>
  <c r="Q9" i="9"/>
  <c r="CU9" i="9" s="1"/>
  <c r="P9" i="9"/>
  <c r="T9" i="9" s="1" a="1"/>
  <c r="T9" i="9" s="1"/>
  <c r="O9" i="9"/>
  <c r="N9" i="9"/>
  <c r="F9" i="9"/>
  <c r="BB9" i="9" s="1"/>
  <c r="CV8" i="9"/>
  <c r="CK8" i="9"/>
  <c r="CJ8" i="9"/>
  <c r="CF8" i="9"/>
  <c r="BJ8" i="9"/>
  <c r="AV8" i="9"/>
  <c r="AO8" i="9" a="1"/>
  <c r="AO8" i="9" s="1"/>
  <c r="AN8" i="9"/>
  <c r="AN8" i="9" a="1"/>
  <c r="S8" i="9"/>
  <c r="R8" i="9"/>
  <c r="Q8" i="9"/>
  <c r="CU8" i="9" s="1"/>
  <c r="P8" i="9"/>
  <c r="T8" i="9" s="1" a="1"/>
  <c r="T8" i="9" s="1"/>
  <c r="O8" i="9"/>
  <c r="N8" i="9"/>
  <c r="F8" i="9"/>
  <c r="AW8" i="9" s="1"/>
  <c r="AX8" i="9" s="1"/>
  <c r="CF7" i="9"/>
  <c r="CK7" i="9" s="1"/>
  <c r="CY7" i="9" s="1"/>
  <c r="BJ7" i="9"/>
  <c r="AV7" i="9"/>
  <c r="AO7" i="9" a="1"/>
  <c r="AO7" i="9" s="1"/>
  <c r="AN7" i="9" a="1"/>
  <c r="AN7" i="9" s="1"/>
  <c r="S7" i="9"/>
  <c r="CV7" i="9" s="1"/>
  <c r="R7" i="9"/>
  <c r="Q7" i="9"/>
  <c r="CU7" i="9" s="1"/>
  <c r="P7" i="9"/>
  <c r="O7" i="9"/>
  <c r="N7" i="9"/>
  <c r="F7" i="9"/>
  <c r="AW7" i="9" s="1"/>
  <c r="AX7" i="9" s="1"/>
  <c r="CV6" i="9"/>
  <c r="CF6" i="9"/>
  <c r="BJ6" i="9"/>
  <c r="AV6" i="9"/>
  <c r="AO6" i="9" a="1"/>
  <c r="AO6" i="9" s="1"/>
  <c r="AN6" i="9"/>
  <c r="AN6" i="9" a="1"/>
  <c r="T6" i="9" a="1"/>
  <c r="T6" i="9" s="1"/>
  <c r="S6" i="9"/>
  <c r="R6" i="9"/>
  <c r="Q6" i="9"/>
  <c r="CU6" i="9" s="1"/>
  <c r="P6" i="9"/>
  <c r="O6" i="9"/>
  <c r="N6" i="9"/>
  <c r="F6" i="9"/>
  <c r="AW6" i="9" s="1"/>
  <c r="AX6" i="9" s="1"/>
  <c r="CU5" i="9"/>
  <c r="CJ5" i="9"/>
  <c r="CF5" i="9"/>
  <c r="CK5" i="9" s="1"/>
  <c r="CY5" i="9" s="1"/>
  <c r="BJ5" i="9"/>
  <c r="AV5" i="9"/>
  <c r="AO5" i="9"/>
  <c r="AO5" i="9" a="1"/>
  <c r="AN5" i="9" a="1"/>
  <c r="AN5" i="9" s="1"/>
  <c r="S5" i="9"/>
  <c r="CV5" i="9" s="1"/>
  <c r="R5" i="9"/>
  <c r="Q5" i="9"/>
  <c r="P5" i="9"/>
  <c r="T5" i="9" s="1" a="1"/>
  <c r="T5" i="9" s="1"/>
  <c r="O5" i="9"/>
  <c r="N5" i="9"/>
  <c r="U5" i="9" s="1" a="1"/>
  <c r="U5" i="9" s="1"/>
  <c r="F5" i="9"/>
  <c r="BB5" i="9" s="1"/>
  <c r="BC5" i="9" s="1"/>
  <c r="CV4" i="9"/>
  <c r="CF4" i="9"/>
  <c r="BR4" i="9"/>
  <c r="BJ4" i="9"/>
  <c r="BA4" i="9"/>
  <c r="AV4" i="9"/>
  <c r="AO4" i="9" a="1"/>
  <c r="AO4" i="9" s="1"/>
  <c r="AN4" i="9"/>
  <c r="AN4" i="9" a="1"/>
  <c r="T4" i="9" a="1"/>
  <c r="T4" i="9" s="1"/>
  <c r="S4" i="9"/>
  <c r="R4" i="9"/>
  <c r="Q4" i="9"/>
  <c r="CU4" i="9" s="1"/>
  <c r="P4" i="9"/>
  <c r="O4" i="9"/>
  <c r="N4" i="9"/>
  <c r="F4" i="9"/>
  <c r="AW4" i="9" s="1"/>
  <c r="AX4" i="9" s="1"/>
  <c r="A4" i="9"/>
  <c r="BY4" i="9" s="1"/>
  <c r="CK3" i="9"/>
  <c r="CY3" i="9" s="1"/>
  <c r="DB3" i="9" s="1"/>
  <c r="CJ3" i="9"/>
  <c r="CF3" i="9"/>
  <c r="BY3" i="9"/>
  <c r="BR3" i="9"/>
  <c r="BJ3" i="9"/>
  <c r="AV3" i="9"/>
  <c r="AO3" i="9" a="1"/>
  <c r="AO3" i="9" s="1"/>
  <c r="AN3" i="9" a="1"/>
  <c r="AN3" i="9" s="1"/>
  <c r="S3" i="9"/>
  <c r="CV3" i="9" s="1"/>
  <c r="R3" i="9"/>
  <c r="Q3" i="9"/>
  <c r="CU3" i="9" s="1"/>
  <c r="P3" i="9"/>
  <c r="O3" i="9"/>
  <c r="T3" i="9" s="1" a="1"/>
  <c r="T3" i="9" s="1"/>
  <c r="N3" i="9"/>
  <c r="F3" i="9"/>
  <c r="BB3" i="9" s="1"/>
  <c r="CM3" i="9" s="1"/>
  <c r="CJ4" i="1"/>
  <c r="CJ5" i="1"/>
  <c r="CJ6" i="1"/>
  <c r="CJ7" i="1"/>
  <c r="CJ8" i="1"/>
  <c r="CJ9" i="1"/>
  <c r="CJ10" i="1"/>
  <c r="CJ11" i="1"/>
  <c r="CJ12" i="1"/>
  <c r="CJ13" i="1"/>
  <c r="CJ14" i="1"/>
  <c r="CJ15" i="1"/>
  <c r="CJ16" i="1"/>
  <c r="CJ17" i="1"/>
  <c r="CJ18" i="1"/>
  <c r="CJ19" i="1"/>
  <c r="CJ20" i="1"/>
  <c r="CJ21" i="1"/>
  <c r="CJ3" i="1"/>
  <c r="BN3" i="1"/>
  <c r="BN4" i="1"/>
  <c r="BN5" i="1"/>
  <c r="BN6" i="1"/>
  <c r="BN7" i="1"/>
  <c r="BN8" i="1"/>
  <c r="BN9" i="1"/>
  <c r="BN10" i="1"/>
  <c r="BN11" i="1"/>
  <c r="BN12" i="1"/>
  <c r="BN13" i="1"/>
  <c r="BN14" i="1"/>
  <c r="BN15" i="1"/>
  <c r="BN16" i="1"/>
  <c r="BN17" i="1"/>
  <c r="BN18" i="1"/>
  <c r="BN19" i="1"/>
  <c r="BN20" i="1"/>
  <c r="BN21" i="1"/>
  <c r="O3" i="8"/>
  <c r="M3" i="8"/>
  <c r="F2" i="8"/>
  <c r="D2" i="8"/>
  <c r="AS21" i="1" a="1"/>
  <c r="AS21" i="1" s="1"/>
  <c r="AR21" i="1" a="1"/>
  <c r="AR21" i="1" s="1"/>
  <c r="AS20" i="1" a="1"/>
  <c r="AS20" i="1" s="1"/>
  <c r="AR20" i="1" a="1"/>
  <c r="AR20" i="1" s="1"/>
  <c r="AS19" i="1" a="1"/>
  <c r="AS19" i="1" s="1"/>
  <c r="AR19" i="1" a="1"/>
  <c r="AR19" i="1" s="1"/>
  <c r="AS18" i="1" a="1"/>
  <c r="AS18" i="1" s="1"/>
  <c r="AR18" i="1" a="1"/>
  <c r="AR18" i="1" s="1"/>
  <c r="AS17" i="1" a="1"/>
  <c r="AS17" i="1" s="1"/>
  <c r="AR17" i="1" a="1"/>
  <c r="AR17" i="1" s="1"/>
  <c r="AS16" i="1" a="1"/>
  <c r="AS16" i="1" s="1"/>
  <c r="AR16" i="1" a="1"/>
  <c r="AR16" i="1" s="1"/>
  <c r="AS15" i="1" a="1"/>
  <c r="AS15" i="1" s="1"/>
  <c r="AR15" i="1" a="1"/>
  <c r="AR15" i="1" s="1"/>
  <c r="AS14" i="1" a="1"/>
  <c r="AS14" i="1" s="1"/>
  <c r="AR14" i="1" a="1"/>
  <c r="AR14" i="1" s="1"/>
  <c r="AS13" i="1" a="1"/>
  <c r="AS13" i="1" s="1"/>
  <c r="AR13" i="1" a="1"/>
  <c r="AR13" i="1" s="1"/>
  <c r="AS12" i="1" a="1"/>
  <c r="AS12" i="1" s="1"/>
  <c r="AR12" i="1" a="1"/>
  <c r="AR12" i="1" s="1"/>
  <c r="AS11" i="1" a="1"/>
  <c r="AS11" i="1" s="1"/>
  <c r="AR11" i="1" a="1"/>
  <c r="AR11" i="1" s="1"/>
  <c r="AS10" i="1" a="1"/>
  <c r="AS10" i="1" s="1"/>
  <c r="AR10" i="1" a="1"/>
  <c r="AR10" i="1" s="1"/>
  <c r="AS9" i="1" a="1"/>
  <c r="AS9" i="1" s="1"/>
  <c r="AR9" i="1" a="1"/>
  <c r="AR9" i="1" s="1"/>
  <c r="AS8" i="1" a="1"/>
  <c r="AS8" i="1" s="1"/>
  <c r="AR8" i="1" a="1"/>
  <c r="AR8" i="1" s="1"/>
  <c r="AS7" i="1" a="1"/>
  <c r="AS7" i="1" s="1"/>
  <c r="AR7" i="1" a="1"/>
  <c r="AR7" i="1" s="1"/>
  <c r="AS6" i="1" a="1"/>
  <c r="AS6" i="1" s="1"/>
  <c r="AR6" i="1" a="1"/>
  <c r="AR6" i="1" s="1"/>
  <c r="AS5" i="1" a="1"/>
  <c r="AS5" i="1" s="1"/>
  <c r="AR5" i="1" a="1"/>
  <c r="AR5" i="1" s="1"/>
  <c r="AS4" i="1" a="1"/>
  <c r="AS4" i="1" s="1"/>
  <c r="AR4" i="1" a="1"/>
  <c r="AR4" i="1" s="1"/>
  <c r="AS3" i="1" a="1"/>
  <c r="AS3" i="1" s="1"/>
  <c r="AR3" i="1" a="1"/>
  <c r="AR3" i="1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D50" i="7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" i="5"/>
  <c r="Z22" i="7"/>
  <c r="Y22" i="7"/>
  <c r="AB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" i="7"/>
  <c r="AA3" i="7"/>
  <c r="AA4" i="7"/>
  <c r="AA5" i="7"/>
  <c r="AA6" i="7"/>
  <c r="AA7" i="7"/>
  <c r="AA8" i="7"/>
  <c r="AA9" i="7"/>
  <c r="AA10" i="7"/>
  <c r="AA11" i="7"/>
  <c r="AA12" i="7"/>
  <c r="AA13" i="7"/>
  <c r="AA14" i="7"/>
  <c r="AA15" i="7"/>
  <c r="AA16" i="7"/>
  <c r="AA17" i="7"/>
  <c r="AA18" i="7"/>
  <c r="AA19" i="7"/>
  <c r="AA20" i="7"/>
  <c r="AA2" i="7"/>
  <c r="U22" i="7"/>
  <c r="V22" i="7"/>
  <c r="W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G22" i="7"/>
  <c r="F22" i="7"/>
  <c r="E22" i="7"/>
  <c r="D22" i="7"/>
  <c r="A3" i="7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" i="5"/>
  <c r="B1" i="5"/>
  <c r="D1" i="5"/>
  <c r="A2" i="5"/>
  <c r="B32" i="3"/>
  <c r="C31" i="3"/>
  <c r="A4" i="3"/>
  <c r="A5" i="3" s="1"/>
  <c r="A6" i="3" s="1"/>
  <c r="C31" i="2"/>
  <c r="B32" i="2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CE23" i="1"/>
  <c r="CD23" i="1"/>
  <c r="CC3" i="1"/>
  <c r="BV3" i="1"/>
  <c r="BX23" i="1"/>
  <c r="BW23" i="1"/>
  <c r="A4" i="2"/>
  <c r="A5" i="2" s="1"/>
  <c r="A6" i="2" s="1"/>
  <c r="A7" i="2" s="1"/>
  <c r="A8" i="2" s="1"/>
  <c r="A9" i="2" s="1"/>
  <c r="A10" i="2" s="1"/>
  <c r="A11" i="2" s="1"/>
  <c r="A12" i="2" s="1"/>
  <c r="I32" i="1"/>
  <c r="F32" i="1"/>
  <c r="E29" i="1"/>
  <c r="F29" i="1"/>
  <c r="G29" i="1"/>
  <c r="H29" i="1"/>
  <c r="I29" i="1"/>
  <c r="D29" i="1"/>
  <c r="I48" i="1"/>
  <c r="H48" i="1"/>
  <c r="G48" i="1"/>
  <c r="F48" i="1"/>
  <c r="E48" i="1"/>
  <c r="D48" i="1"/>
  <c r="I36" i="1"/>
  <c r="H36" i="1"/>
  <c r="G36" i="1"/>
  <c r="F36" i="1"/>
  <c r="E36" i="1"/>
  <c r="D36" i="1"/>
  <c r="E42" i="1"/>
  <c r="F42" i="1"/>
  <c r="G42" i="1"/>
  <c r="H42" i="1"/>
  <c r="I42" i="1"/>
  <c r="D42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CC21" i="1" s="1"/>
  <c r="AQ29" i="1" l="1"/>
  <c r="CZ62" i="1"/>
  <c r="AL29" i="1"/>
  <c r="AP29" i="1"/>
  <c r="AO29" i="1"/>
  <c r="CY62" i="1"/>
  <c r="AN29" i="1"/>
  <c r="AM29" i="1"/>
  <c r="U7" i="9" a="1"/>
  <c r="U7" i="9" s="1"/>
  <c r="AW3" i="9"/>
  <c r="AW10" i="9"/>
  <c r="AX10" i="9" s="1"/>
  <c r="AW5" i="9"/>
  <c r="AX5" i="9" s="1"/>
  <c r="DB7" i="9"/>
  <c r="I7" i="9"/>
  <c r="L7" i="9" s="1"/>
  <c r="DB5" i="9"/>
  <c r="I5" i="9"/>
  <c r="L5" i="9" s="1"/>
  <c r="BC9" i="9"/>
  <c r="CM9" i="9"/>
  <c r="CK4" i="9"/>
  <c r="CY4" i="9" s="1"/>
  <c r="CJ4" i="9"/>
  <c r="BA5" i="9"/>
  <c r="CJ7" i="9"/>
  <c r="BC10" i="9"/>
  <c r="CM10" i="9"/>
  <c r="U4" i="9" a="1"/>
  <c r="U4" i="9" s="1"/>
  <c r="BB4" i="9"/>
  <c r="A5" i="9"/>
  <c r="CM5" i="9"/>
  <c r="CK6" i="9"/>
  <c r="CY6" i="9" s="1"/>
  <c r="CJ6" i="9"/>
  <c r="DB11" i="9"/>
  <c r="I11" i="9"/>
  <c r="L11" i="9" s="1"/>
  <c r="I3" i="9"/>
  <c r="L3" i="9" s="1"/>
  <c r="U3" i="9" a="1"/>
  <c r="U3" i="9" s="1"/>
  <c r="BB7" i="9"/>
  <c r="U8" i="9" a="1"/>
  <c r="U8" i="9" s="1"/>
  <c r="BB8" i="9"/>
  <c r="CX8" i="9"/>
  <c r="I9" i="9"/>
  <c r="L9" i="9" s="1"/>
  <c r="AW9" i="9"/>
  <c r="AX9" i="9" s="1"/>
  <c r="CX9" i="9"/>
  <c r="DB10" i="9"/>
  <c r="AX11" i="9"/>
  <c r="AY11" i="9" s="1"/>
  <c r="DA11" i="9"/>
  <c r="T13" i="9" a="1"/>
  <c r="T13" i="9" s="1"/>
  <c r="U13" i="9" a="1"/>
  <c r="U13" i="9" s="1"/>
  <c r="T14" i="9" a="1"/>
  <c r="T14" i="9" s="1"/>
  <c r="U6" i="9" a="1"/>
  <c r="U6" i="9" s="1"/>
  <c r="BB6" i="9"/>
  <c r="AX3" i="9"/>
  <c r="CX3" i="9"/>
  <c r="T7" i="9" a="1"/>
  <c r="T7" i="9" s="1"/>
  <c r="CY8" i="9"/>
  <c r="BC11" i="9"/>
  <c r="CM11" i="9"/>
  <c r="BC3" i="9"/>
  <c r="BD5" i="9"/>
  <c r="CN5" i="9"/>
  <c r="CX5" i="9"/>
  <c r="U11" i="9" a="1"/>
  <c r="U11" i="9" s="1"/>
  <c r="CJ15" i="9"/>
  <c r="CK15" i="9"/>
  <c r="CY15" i="9" s="1"/>
  <c r="CK20" i="9"/>
  <c r="CY20" i="9" s="1"/>
  <c r="CJ20" i="9"/>
  <c r="BC20" i="9"/>
  <c r="CM20" i="9"/>
  <c r="CY12" i="9"/>
  <c r="U9" i="9" a="1"/>
  <c r="U9" i="9" s="1"/>
  <c r="CX10" i="9"/>
  <c r="CK16" i="9"/>
  <c r="CY16" i="9" s="1"/>
  <c r="BB17" i="9"/>
  <c r="T17" i="9" a="1"/>
  <c r="T17" i="9" s="1"/>
  <c r="BC21" i="9"/>
  <c r="CM21" i="9"/>
  <c r="CK13" i="9"/>
  <c r="CY13" i="9" s="1"/>
  <c r="DB19" i="9"/>
  <c r="I19" i="9"/>
  <c r="L19" i="9" s="1"/>
  <c r="U21" i="9" a="1"/>
  <c r="U21" i="9" s="1"/>
  <c r="BC13" i="9"/>
  <c r="AW14" i="9"/>
  <c r="DB17" i="9"/>
  <c r="I17" i="9"/>
  <c r="L17" i="9" s="1"/>
  <c r="T21" i="9" a="1"/>
  <c r="T21" i="9" s="1"/>
  <c r="AX18" i="9"/>
  <c r="DB21" i="9"/>
  <c r="I21" i="9"/>
  <c r="L21" i="9" s="1"/>
  <c r="DB14" i="9"/>
  <c r="I14" i="9"/>
  <c r="L14" i="9" s="1"/>
  <c r="BB15" i="9"/>
  <c r="DB18" i="9"/>
  <c r="I18" i="9"/>
  <c r="L18" i="9" s="1"/>
  <c r="BB19" i="9"/>
  <c r="O16" i="9"/>
  <c r="U16" i="9" s="1" a="1"/>
  <c r="U16" i="9" s="1"/>
  <c r="O18" i="9"/>
  <c r="T23" i="9" a="1"/>
  <c r="T23" i="9" s="1"/>
  <c r="T11" i="9" a="1"/>
  <c r="T11" i="9" s="1"/>
  <c r="Q12" i="9"/>
  <c r="CU12" i="9" s="1"/>
  <c r="CX12" i="9" s="1"/>
  <c r="BB12" i="9"/>
  <c r="AW13" i="9"/>
  <c r="AX13" i="9" s="1"/>
  <c r="Q14" i="9"/>
  <c r="CU14" i="9" s="1"/>
  <c r="CX14" i="9" s="1"/>
  <c r="BB14" i="9"/>
  <c r="AW15" i="9"/>
  <c r="AX15" i="9" s="1"/>
  <c r="Q16" i="9"/>
  <c r="CU16" i="9" s="1"/>
  <c r="CX16" i="9" s="1"/>
  <c r="BB16" i="9"/>
  <c r="AW17" i="9"/>
  <c r="AX17" i="9" s="1"/>
  <c r="Q18" i="9"/>
  <c r="CU18" i="9" s="1"/>
  <c r="CX18" i="9" s="1"/>
  <c r="BB18" i="9"/>
  <c r="AW19" i="9"/>
  <c r="Q20" i="9"/>
  <c r="CU20" i="9" s="1"/>
  <c r="AW21" i="9"/>
  <c r="CJ21" i="9"/>
  <c r="AJ29" i="9"/>
  <c r="AK29" i="9"/>
  <c r="Q13" i="9"/>
  <c r="CU13" i="9" s="1"/>
  <c r="CX13" i="9" s="1"/>
  <c r="Q15" i="9"/>
  <c r="Q17" i="9"/>
  <c r="CU17" i="9" s="1"/>
  <c r="CX17" i="9" s="1"/>
  <c r="Q19" i="9"/>
  <c r="CU19" i="9" s="1"/>
  <c r="CX19" i="9" s="1"/>
  <c r="AW20" i="9"/>
  <c r="AX20" i="9" s="1"/>
  <c r="F13" i="8"/>
  <c r="F8" i="8"/>
  <c r="F5" i="8"/>
  <c r="F6" i="8"/>
  <c r="F4" i="8"/>
  <c r="F7" i="8"/>
  <c r="F9" i="8"/>
  <c r="D4" i="8"/>
  <c r="D7" i="8"/>
  <c r="D8" i="8"/>
  <c r="D9" i="8"/>
  <c r="D3" i="8"/>
  <c r="D10" i="8"/>
  <c r="F3" i="8"/>
  <c r="F12" i="8"/>
  <c r="O18" i="1"/>
  <c r="R3" i="1"/>
  <c r="S20" i="1"/>
  <c r="CZ20" i="1" s="1"/>
  <c r="S16" i="1"/>
  <c r="CZ16" i="1" s="1"/>
  <c r="O14" i="1"/>
  <c r="S12" i="1"/>
  <c r="CZ12" i="1" s="1"/>
  <c r="O10" i="1"/>
  <c r="R8" i="1"/>
  <c r="R20" i="1"/>
  <c r="R16" i="1"/>
  <c r="R12" i="1"/>
  <c r="Q8" i="1"/>
  <c r="CY8" i="1" s="1"/>
  <c r="P4" i="1"/>
  <c r="Q20" i="1"/>
  <c r="CY20" i="1" s="1"/>
  <c r="Q16" i="1"/>
  <c r="CY16" i="1" s="1"/>
  <c r="Q12" i="1"/>
  <c r="CY12" i="1" s="1"/>
  <c r="P8" i="1"/>
  <c r="O4" i="1"/>
  <c r="P20" i="1"/>
  <c r="P16" i="1"/>
  <c r="P12" i="1"/>
  <c r="Q7" i="1"/>
  <c r="CY7" i="1" s="1"/>
  <c r="P3" i="1"/>
  <c r="Q19" i="1"/>
  <c r="CY19" i="1" s="1"/>
  <c r="Q15" i="1"/>
  <c r="CY15" i="1" s="1"/>
  <c r="Q11" i="1"/>
  <c r="CY11" i="1" s="1"/>
  <c r="P7" i="1"/>
  <c r="O3" i="1"/>
  <c r="P19" i="1"/>
  <c r="P15" i="1"/>
  <c r="P11" i="1"/>
  <c r="O7" i="1"/>
  <c r="S3" i="1"/>
  <c r="CZ3" i="1" s="1"/>
  <c r="O19" i="1"/>
  <c r="O15" i="1"/>
  <c r="O11" i="1"/>
  <c r="O6" i="1"/>
  <c r="N6" i="1"/>
  <c r="N14" i="1"/>
  <c r="R21" i="1"/>
  <c r="N19" i="1"/>
  <c r="R17" i="1"/>
  <c r="N11" i="1"/>
  <c r="R9" i="1"/>
  <c r="N7" i="1"/>
  <c r="R5" i="1"/>
  <c r="S17" i="1"/>
  <c r="CZ17" i="1" s="1"/>
  <c r="S9" i="1"/>
  <c r="CZ9" i="1" s="1"/>
  <c r="R13" i="1"/>
  <c r="Q4" i="1"/>
  <c r="CY4" i="1" s="1"/>
  <c r="Q21" i="1"/>
  <c r="CY21" i="1" s="1"/>
  <c r="O20" i="1"/>
  <c r="S18" i="1"/>
  <c r="CZ18" i="1" s="1"/>
  <c r="Q17" i="1"/>
  <c r="CY17" i="1" s="1"/>
  <c r="O16" i="1"/>
  <c r="S14" i="1"/>
  <c r="CZ14" i="1" s="1"/>
  <c r="Q13" i="1"/>
  <c r="CY13" i="1" s="1"/>
  <c r="O12" i="1"/>
  <c r="S10" i="1"/>
  <c r="CZ10" i="1" s="1"/>
  <c r="Q9" i="1"/>
  <c r="CY9" i="1" s="1"/>
  <c r="O8" i="1"/>
  <c r="S6" i="1"/>
  <c r="CZ6" i="1" s="1"/>
  <c r="Q5" i="1"/>
  <c r="CY5" i="1" s="1"/>
  <c r="S8" i="1"/>
  <c r="CZ8" i="1" s="1"/>
  <c r="S13" i="1"/>
  <c r="CZ13" i="1" s="1"/>
  <c r="Q3" i="1"/>
  <c r="CY3" i="1" s="1"/>
  <c r="P21" i="1"/>
  <c r="N20" i="1"/>
  <c r="R18" i="1"/>
  <c r="P17" i="1"/>
  <c r="N16" i="1"/>
  <c r="R14" i="1"/>
  <c r="P13" i="1"/>
  <c r="N12" i="1"/>
  <c r="R10" i="1"/>
  <c r="P9" i="1"/>
  <c r="N8" i="1"/>
  <c r="R6" i="1"/>
  <c r="P5" i="1"/>
  <c r="N15" i="1"/>
  <c r="N3" i="1"/>
  <c r="S4" i="1"/>
  <c r="CZ4" i="1" s="1"/>
  <c r="O21" i="1"/>
  <c r="S19" i="1"/>
  <c r="CZ19" i="1" s="1"/>
  <c r="Q18" i="1"/>
  <c r="CY18" i="1" s="1"/>
  <c r="O17" i="1"/>
  <c r="S15" i="1"/>
  <c r="CZ15" i="1" s="1"/>
  <c r="Q14" i="1"/>
  <c r="CY14" i="1" s="1"/>
  <c r="O13" i="1"/>
  <c r="S11" i="1"/>
  <c r="CZ11" i="1" s="1"/>
  <c r="Q10" i="1"/>
  <c r="CY10" i="1" s="1"/>
  <c r="O9" i="1"/>
  <c r="S7" i="1"/>
  <c r="CZ7" i="1" s="1"/>
  <c r="Q6" i="1"/>
  <c r="CY6" i="1" s="1"/>
  <c r="O5" i="1"/>
  <c r="N18" i="1"/>
  <c r="N10" i="1"/>
  <c r="S21" i="1"/>
  <c r="CZ21" i="1" s="1"/>
  <c r="S5" i="1"/>
  <c r="CZ5" i="1" s="1"/>
  <c r="N4" i="1"/>
  <c r="R4" i="1"/>
  <c r="N21" i="1"/>
  <c r="R19" i="1"/>
  <c r="P18" i="1"/>
  <c r="N17" i="1"/>
  <c r="R15" i="1"/>
  <c r="P14" i="1"/>
  <c r="N13" i="1"/>
  <c r="R11" i="1"/>
  <c r="P10" i="1"/>
  <c r="N9" i="1"/>
  <c r="R7" i="1"/>
  <c r="P6" i="1"/>
  <c r="N5" i="1"/>
  <c r="R55" i="7"/>
  <c r="J55" i="7"/>
  <c r="W55" i="7"/>
  <c r="O55" i="7"/>
  <c r="F55" i="7"/>
  <c r="M55" i="7"/>
  <c r="I55" i="7"/>
  <c r="U55" i="7"/>
  <c r="E55" i="7"/>
  <c r="Q55" i="7"/>
  <c r="P55" i="7"/>
  <c r="H55" i="7"/>
  <c r="G55" i="7"/>
  <c r="V55" i="7"/>
  <c r="N55" i="7"/>
  <c r="T55" i="7"/>
  <c r="L55" i="7"/>
  <c r="D55" i="7"/>
  <c r="S55" i="7"/>
  <c r="K55" i="7"/>
  <c r="AA22" i="7"/>
  <c r="AB22" i="7"/>
  <c r="A4" i="7"/>
  <c r="A6" i="5"/>
  <c r="BV6" i="1"/>
  <c r="A17" i="5"/>
  <c r="A16" i="5"/>
  <c r="A14" i="5"/>
  <c r="A9" i="5"/>
  <c r="A8" i="5"/>
  <c r="A15" i="5"/>
  <c r="A7" i="5"/>
  <c r="A13" i="5"/>
  <c r="A5" i="5"/>
  <c r="A20" i="5"/>
  <c r="A12" i="5"/>
  <c r="A4" i="5"/>
  <c r="A19" i="5"/>
  <c r="A11" i="5"/>
  <c r="A3" i="5"/>
  <c r="A18" i="5"/>
  <c r="A10" i="5"/>
  <c r="BV5" i="1"/>
  <c r="C36" i="2"/>
  <c r="CC8" i="1"/>
  <c r="CC16" i="1"/>
  <c r="CC17" i="1"/>
  <c r="C43" i="2"/>
  <c r="C35" i="2"/>
  <c r="BV20" i="1"/>
  <c r="BV12" i="1"/>
  <c r="BV4" i="1"/>
  <c r="CC10" i="1"/>
  <c r="CC18" i="1"/>
  <c r="C42" i="2"/>
  <c r="C34" i="2"/>
  <c r="BV21" i="1"/>
  <c r="BV19" i="1"/>
  <c r="BV11" i="1"/>
  <c r="CC11" i="1"/>
  <c r="CC19" i="1"/>
  <c r="C49" i="2"/>
  <c r="C41" i="2"/>
  <c r="C33" i="2"/>
  <c r="BV14" i="1"/>
  <c r="BV18" i="1"/>
  <c r="BV10" i="1"/>
  <c r="CC4" i="1"/>
  <c r="CC12" i="1"/>
  <c r="CC20" i="1"/>
  <c r="C48" i="2"/>
  <c r="C40" i="2"/>
  <c r="C32" i="2"/>
  <c r="C44" i="2"/>
  <c r="BV17" i="1"/>
  <c r="BV9" i="1"/>
  <c r="CC5" i="1"/>
  <c r="CC13" i="1"/>
  <c r="C47" i="2"/>
  <c r="C39" i="2"/>
  <c r="BV13" i="1"/>
  <c r="BV16" i="1"/>
  <c r="BV8" i="1"/>
  <c r="CC6" i="1"/>
  <c r="CC14" i="1"/>
  <c r="C46" i="2"/>
  <c r="C38" i="2"/>
  <c r="CC9" i="1"/>
  <c r="BV15" i="1"/>
  <c r="BV7" i="1"/>
  <c r="CC7" i="1"/>
  <c r="CC15" i="1"/>
  <c r="C45" i="2"/>
  <c r="C37" i="2"/>
  <c r="B33" i="3"/>
  <c r="C32" i="3"/>
  <c r="A7" i="3"/>
  <c r="A13" i="2"/>
  <c r="A14" i="2" s="1"/>
  <c r="A15" i="2" s="1"/>
  <c r="A16" i="2" s="1"/>
  <c r="A17" i="2" s="1"/>
  <c r="A18" i="2" s="1"/>
  <c r="A19" i="2" s="1"/>
  <c r="A20" i="2" s="1"/>
  <c r="A21" i="2" s="1"/>
  <c r="F30" i="1"/>
  <c r="CN62" i="1" s="1"/>
  <c r="E30" i="1"/>
  <c r="G30" i="1"/>
  <c r="H30" i="1"/>
  <c r="I30" i="1"/>
  <c r="CO62" i="1" s="1"/>
  <c r="D30" i="1"/>
  <c r="AZ4" i="1"/>
  <c r="AZ5" i="1"/>
  <c r="AZ6" i="1"/>
  <c r="AZ7" i="1"/>
  <c r="AZ8" i="1"/>
  <c r="AZ9" i="1"/>
  <c r="AZ10" i="1"/>
  <c r="AZ11" i="1"/>
  <c r="AZ12" i="1"/>
  <c r="AZ13" i="1"/>
  <c r="AZ14" i="1"/>
  <c r="AZ15" i="1"/>
  <c r="AZ16" i="1"/>
  <c r="AZ17" i="1"/>
  <c r="AZ18" i="1"/>
  <c r="AZ19" i="1"/>
  <c r="AZ20" i="1"/>
  <c r="AZ21" i="1"/>
  <c r="AZ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3" i="1"/>
  <c r="DB62" i="1" l="1"/>
  <c r="DE62" i="1" s="1"/>
  <c r="U62" i="1" a="1"/>
  <c r="U62" i="1" s="1"/>
  <c r="G24" i="11" s="1"/>
  <c r="BA62" i="1"/>
  <c r="BF62" i="1"/>
  <c r="T62" i="1" a="1"/>
  <c r="T62" i="1" s="1"/>
  <c r="G24" i="12" s="1"/>
  <c r="CO4" i="1"/>
  <c r="DC4" i="1" s="1"/>
  <c r="CO5" i="1"/>
  <c r="DC5" i="1" s="1"/>
  <c r="CO6" i="1"/>
  <c r="DC6" i="1" s="1"/>
  <c r="CO7" i="1"/>
  <c r="DC7" i="1" s="1"/>
  <c r="CO8" i="1"/>
  <c r="DC8" i="1" s="1"/>
  <c r="CO9" i="1"/>
  <c r="DC9" i="1" s="1"/>
  <c r="CO10" i="1"/>
  <c r="DC10" i="1" s="1"/>
  <c r="CO11" i="1"/>
  <c r="DC11" i="1" s="1"/>
  <c r="CO12" i="1"/>
  <c r="DC12" i="1" s="1"/>
  <c r="CO13" i="1"/>
  <c r="DC13" i="1" s="1"/>
  <c r="CO14" i="1"/>
  <c r="DC14" i="1" s="1"/>
  <c r="CO15" i="1"/>
  <c r="DC15" i="1" s="1"/>
  <c r="CO16" i="1"/>
  <c r="DC16" i="1" s="1"/>
  <c r="CO17" i="1"/>
  <c r="DC17" i="1" s="1"/>
  <c r="CO18" i="1"/>
  <c r="DC18" i="1" s="1"/>
  <c r="CO19" i="1"/>
  <c r="DC19" i="1" s="1"/>
  <c r="CO20" i="1"/>
  <c r="DC20" i="1" s="1"/>
  <c r="CO21" i="1"/>
  <c r="DC21" i="1" s="1"/>
  <c r="CN11" i="1"/>
  <c r="CN12" i="1"/>
  <c r="CN13" i="1"/>
  <c r="CN14" i="1"/>
  <c r="CN15" i="1"/>
  <c r="CN16" i="1"/>
  <c r="CN17" i="1"/>
  <c r="CN18" i="1"/>
  <c r="CN19" i="1"/>
  <c r="CN20" i="1"/>
  <c r="CN21" i="1"/>
  <c r="H14" i="9"/>
  <c r="K14" i="9" s="1"/>
  <c r="DA14" i="9"/>
  <c r="H18" i="9"/>
  <c r="K18" i="9" s="1"/>
  <c r="DA18" i="9"/>
  <c r="DA19" i="9"/>
  <c r="H19" i="9"/>
  <c r="K19" i="9" s="1"/>
  <c r="CX21" i="9"/>
  <c r="H16" i="9"/>
  <c r="K16" i="9" s="1"/>
  <c r="DA16" i="9"/>
  <c r="DA5" i="9"/>
  <c r="H5" i="9"/>
  <c r="DB8" i="9"/>
  <c r="I8" i="9"/>
  <c r="L8" i="9" s="1"/>
  <c r="DB6" i="9"/>
  <c r="I6" i="9"/>
  <c r="L6" i="9" s="1"/>
  <c r="CX7" i="9"/>
  <c r="CN9" i="9"/>
  <c r="BD9" i="9"/>
  <c r="AX21" i="9"/>
  <c r="U18" i="9" a="1"/>
  <c r="U18" i="9" s="1"/>
  <c r="T18" i="9" a="1"/>
  <c r="T18" i="9" s="1"/>
  <c r="CM17" i="9"/>
  <c r="BC17" i="9"/>
  <c r="BD20" i="9"/>
  <c r="CN20" i="9"/>
  <c r="DB15" i="9"/>
  <c r="I15" i="9"/>
  <c r="L15" i="9" s="1"/>
  <c r="BC6" i="9"/>
  <c r="CM6" i="9"/>
  <c r="BA6" i="9"/>
  <c r="BC14" i="9"/>
  <c r="CM14" i="9"/>
  <c r="DB13" i="9"/>
  <c r="I13" i="9"/>
  <c r="L13" i="9" s="1"/>
  <c r="DA8" i="9"/>
  <c r="H8" i="9"/>
  <c r="BY5" i="9"/>
  <c r="BR5" i="9"/>
  <c r="A6" i="9"/>
  <c r="U19" i="9" a="1"/>
  <c r="U19" i="9" s="1"/>
  <c r="BC4" i="9"/>
  <c r="CM4" i="9"/>
  <c r="CU15" i="9"/>
  <c r="U15" i="9" a="1"/>
  <c r="U15" i="9" s="1"/>
  <c r="CM18" i="9"/>
  <c r="BC18" i="9"/>
  <c r="BC19" i="9"/>
  <c r="CM19" i="9"/>
  <c r="CN13" i="9"/>
  <c r="BD13" i="9"/>
  <c r="CX20" i="9"/>
  <c r="BD3" i="9"/>
  <c r="CN3" i="9"/>
  <c r="V11" i="9"/>
  <c r="CM8" i="9"/>
  <c r="BC8" i="9"/>
  <c r="AX16" i="9"/>
  <c r="CX15" i="9"/>
  <c r="CO5" i="9"/>
  <c r="BE5" i="9"/>
  <c r="H3" i="9"/>
  <c r="K3" i="9" s="1"/>
  <c r="DA3" i="9"/>
  <c r="CX4" i="9"/>
  <c r="DA17" i="9"/>
  <c r="H17" i="9"/>
  <c r="K17" i="9" s="1"/>
  <c r="AX19" i="9"/>
  <c r="AY19" i="9" s="1"/>
  <c r="V14" i="9"/>
  <c r="AX14" i="9"/>
  <c r="AY14" i="9" s="1"/>
  <c r="DB4" i="9"/>
  <c r="I4" i="9"/>
  <c r="L4" i="9" s="1"/>
  <c r="DA13" i="9"/>
  <c r="H13" i="9"/>
  <c r="K13" i="9" s="1"/>
  <c r="CM12" i="9"/>
  <c r="BC12" i="9"/>
  <c r="AY18" i="9"/>
  <c r="V18" i="9" s="1"/>
  <c r="DA10" i="9"/>
  <c r="H10" i="9"/>
  <c r="DB20" i="9"/>
  <c r="I20" i="9"/>
  <c r="L20" i="9" s="1"/>
  <c r="U17" i="9" a="1"/>
  <c r="U17" i="9" s="1"/>
  <c r="T16" i="9" a="1"/>
  <c r="T16" i="9" s="1"/>
  <c r="DB16" i="9"/>
  <c r="I16" i="9"/>
  <c r="L16" i="9" s="1"/>
  <c r="AY17" i="9"/>
  <c r="V17" i="9" s="1"/>
  <c r="H12" i="9"/>
  <c r="DA12" i="9"/>
  <c r="U20" i="9" a="1"/>
  <c r="U20" i="9" s="1"/>
  <c r="CN21" i="9"/>
  <c r="BD21" i="9"/>
  <c r="DA9" i="9"/>
  <c r="H9" i="9"/>
  <c r="K9" i="9" s="1"/>
  <c r="BC7" i="9"/>
  <c r="CM7" i="9"/>
  <c r="CN10" i="9"/>
  <c r="BD10" i="9"/>
  <c r="CM16" i="9"/>
  <c r="BC16" i="9"/>
  <c r="CM15" i="9"/>
  <c r="BC15" i="9"/>
  <c r="DB12" i="9"/>
  <c r="I12" i="9"/>
  <c r="L12" i="9" s="1"/>
  <c r="U12" i="9" a="1"/>
  <c r="U12" i="9" s="1"/>
  <c r="CN11" i="9"/>
  <c r="BD11" i="9"/>
  <c r="U14" i="9" a="1"/>
  <c r="U14" i="9" s="1"/>
  <c r="CX6" i="9"/>
  <c r="CN4" i="1"/>
  <c r="DB4" i="1" s="1"/>
  <c r="CN8" i="1"/>
  <c r="CN5" i="1"/>
  <c r="CN9" i="1"/>
  <c r="CN10" i="1"/>
  <c r="CN7" i="1"/>
  <c r="CN6" i="1"/>
  <c r="DB6" i="1" s="1"/>
  <c r="CN3" i="1"/>
  <c r="DB3" i="1" s="1"/>
  <c r="CO3" i="1"/>
  <c r="DC3" i="1" s="1"/>
  <c r="F10" i="8"/>
  <c r="F11" i="8"/>
  <c r="D11" i="8"/>
  <c r="D19" i="8"/>
  <c r="D5" i="8"/>
  <c r="D6" i="8"/>
  <c r="D18" i="8"/>
  <c r="D21" i="8"/>
  <c r="D14" i="8"/>
  <c r="D16" i="8"/>
  <c r="D12" i="8"/>
  <c r="D20" i="8"/>
  <c r="D17" i="8"/>
  <c r="D13" i="8"/>
  <c r="D15" i="8"/>
  <c r="F14" i="8"/>
  <c r="F16" i="8"/>
  <c r="F17" i="8"/>
  <c r="F20" i="8"/>
  <c r="F21" i="8"/>
  <c r="F15" i="8"/>
  <c r="F18" i="8"/>
  <c r="F19" i="8"/>
  <c r="T3" i="1" a="1"/>
  <c r="T3" i="1" s="1"/>
  <c r="A5" i="7"/>
  <c r="A22" i="5"/>
  <c r="C33" i="3"/>
  <c r="B34" i="3"/>
  <c r="A8" i="3"/>
  <c r="BZ23" i="1"/>
  <c r="BF8" i="1"/>
  <c r="T23" i="1" a="1"/>
  <c r="T23" i="1" s="1"/>
  <c r="BA5" i="1"/>
  <c r="BF7" i="1"/>
  <c r="BA21" i="1"/>
  <c r="BF18" i="1"/>
  <c r="BA13" i="1"/>
  <c r="BA15" i="1"/>
  <c r="BA10" i="1"/>
  <c r="BF17" i="1"/>
  <c r="BF9" i="1"/>
  <c r="BA3" i="1"/>
  <c r="BA12" i="1"/>
  <c r="BA4" i="1"/>
  <c r="BA14" i="1"/>
  <c r="BA6" i="1"/>
  <c r="BF19" i="1"/>
  <c r="BF11" i="1"/>
  <c r="BF16" i="1"/>
  <c r="BA8" i="1"/>
  <c r="H62" i="1" l="1"/>
  <c r="K62" i="1" s="1"/>
  <c r="CQ16" i="1"/>
  <c r="CQ19" i="1"/>
  <c r="CQ7" i="1"/>
  <c r="CQ8" i="1"/>
  <c r="CQ18" i="1"/>
  <c r="CQ9" i="1"/>
  <c r="CQ11" i="1"/>
  <c r="CQ17" i="1"/>
  <c r="BG62" i="1"/>
  <c r="CQ62" i="1"/>
  <c r="BB62" i="1"/>
  <c r="BC62" i="1" s="1"/>
  <c r="AB17" i="9"/>
  <c r="AE17" i="9" s="1"/>
  <c r="Y17" i="9"/>
  <c r="H15" i="9"/>
  <c r="DA15" i="9"/>
  <c r="CO3" i="9"/>
  <c r="BE3" i="9"/>
  <c r="BD18" i="9"/>
  <c r="CN18" i="9"/>
  <c r="BY6" i="9"/>
  <c r="BR6" i="9"/>
  <c r="A7" i="9"/>
  <c r="BD14" i="9"/>
  <c r="CN14" i="9"/>
  <c r="CO20" i="9"/>
  <c r="BE20" i="9"/>
  <c r="AY9" i="9"/>
  <c r="V9" i="9" s="1"/>
  <c r="DA21" i="9"/>
  <c r="H21" i="9"/>
  <c r="K21" i="9" s="1"/>
  <c r="DA6" i="9"/>
  <c r="H6" i="9"/>
  <c r="BD7" i="9"/>
  <c r="CN7" i="9"/>
  <c r="K12" i="9"/>
  <c r="AY12" i="9"/>
  <c r="V12" i="9" s="1"/>
  <c r="BA7" i="9"/>
  <c r="CN17" i="9"/>
  <c r="BD17" i="9"/>
  <c r="BE9" i="9"/>
  <c r="CO9" i="9"/>
  <c r="CN15" i="9"/>
  <c r="BD15" i="9"/>
  <c r="H4" i="9"/>
  <c r="DA4" i="9"/>
  <c r="AY16" i="9"/>
  <c r="V16" i="9"/>
  <c r="DA20" i="9"/>
  <c r="H20" i="9"/>
  <c r="BD8" i="9"/>
  <c r="CN8" i="9"/>
  <c r="CO13" i="9"/>
  <c r="BE13" i="9"/>
  <c r="K8" i="9"/>
  <c r="AY8" i="9"/>
  <c r="V8" i="9" s="1"/>
  <c r="DA7" i="9"/>
  <c r="H7" i="9"/>
  <c r="K5" i="9"/>
  <c r="AY5" i="9"/>
  <c r="V5" i="9" s="1"/>
  <c r="K10" i="9"/>
  <c r="AY10" i="9"/>
  <c r="V10" i="9" s="1"/>
  <c r="BD16" i="9"/>
  <c r="CN16" i="9"/>
  <c r="BD6" i="9"/>
  <c r="CN6" i="9"/>
  <c r="BE11" i="9"/>
  <c r="CO11" i="9"/>
  <c r="AB14" i="9"/>
  <c r="AE14" i="9" s="1"/>
  <c r="Y14" i="9"/>
  <c r="AB11" i="9"/>
  <c r="AE11" i="9" s="1"/>
  <c r="Y11" i="9"/>
  <c r="BD4" i="9"/>
  <c r="CN4" i="9"/>
  <c r="CO21" i="9"/>
  <c r="BE21" i="9"/>
  <c r="AB18" i="9"/>
  <c r="AE18" i="9" s="1"/>
  <c r="Y18" i="9"/>
  <c r="BE10" i="9"/>
  <c r="CO10" i="9"/>
  <c r="BD12" i="9"/>
  <c r="CN12" i="9"/>
  <c r="V19" i="9"/>
  <c r="CP5" i="9"/>
  <c r="BF5" i="9"/>
  <c r="CN19" i="9"/>
  <c r="BD19" i="9"/>
  <c r="AY3" i="9"/>
  <c r="V3" i="9" s="1"/>
  <c r="AY13" i="9"/>
  <c r="V13" i="9" s="1"/>
  <c r="DF3" i="1"/>
  <c r="I3" i="1"/>
  <c r="L3" i="1" s="1"/>
  <c r="DF5" i="1"/>
  <c r="I5" i="1"/>
  <c r="L5" i="1" s="1"/>
  <c r="DE3" i="1"/>
  <c r="H3" i="1"/>
  <c r="K3" i="1" s="1"/>
  <c r="DE4" i="1"/>
  <c r="H4" i="1"/>
  <c r="K4" i="1" s="1"/>
  <c r="DF6" i="1"/>
  <c r="I6" i="1"/>
  <c r="L6" i="1" s="1"/>
  <c r="DE6" i="1"/>
  <c r="H6" i="1"/>
  <c r="K6" i="1" s="1"/>
  <c r="DF4" i="1"/>
  <c r="I4" i="1"/>
  <c r="L4" i="1" s="1"/>
  <c r="DB5" i="1"/>
  <c r="DB7" i="1"/>
  <c r="A6" i="7"/>
  <c r="A9" i="3"/>
  <c r="B35" i="3"/>
  <c r="C34" i="3"/>
  <c r="BG8" i="1"/>
  <c r="T8" i="1" a="1"/>
  <c r="T8" i="1" s="1"/>
  <c r="BG7" i="1"/>
  <c r="BG16" i="1"/>
  <c r="BF21" i="1"/>
  <c r="BG17" i="1"/>
  <c r="BF15" i="1"/>
  <c r="BA16" i="1"/>
  <c r="BA18" i="1"/>
  <c r="BA7" i="1"/>
  <c r="BF3" i="1"/>
  <c r="T13" i="1" a="1"/>
  <c r="T13" i="1" s="1"/>
  <c r="U23" i="1" a="1"/>
  <c r="U23" i="1" s="1"/>
  <c r="E2" i="8" s="1"/>
  <c r="BG11" i="1"/>
  <c r="BG19" i="1"/>
  <c r="BG9" i="1"/>
  <c r="T5" i="1" a="1"/>
  <c r="T5" i="1" s="1"/>
  <c r="BB10" i="1"/>
  <c r="BG18" i="1"/>
  <c r="BF4" i="1"/>
  <c r="BA20" i="1"/>
  <c r="BF20" i="1"/>
  <c r="BF5" i="1"/>
  <c r="BF6" i="1"/>
  <c r="BF12" i="1"/>
  <c r="BF13" i="1"/>
  <c r="BF14" i="1"/>
  <c r="BF10" i="1"/>
  <c r="BB3" i="1"/>
  <c r="BC3" i="1" s="1"/>
  <c r="BB14" i="1"/>
  <c r="BB4" i="1"/>
  <c r="T10" i="1" a="1"/>
  <c r="T10" i="1" s="1"/>
  <c r="T12" i="1" a="1"/>
  <c r="T12" i="1" s="1"/>
  <c r="T21" i="1" a="1"/>
  <c r="T21" i="1" s="1"/>
  <c r="T7" i="1" a="1"/>
  <c r="T7" i="1" s="1"/>
  <c r="T16" i="1" a="1"/>
  <c r="T16" i="1" s="1"/>
  <c r="T18" i="1" a="1"/>
  <c r="T18" i="1" s="1"/>
  <c r="BB8" i="1"/>
  <c r="T9" i="1" a="1"/>
  <c r="T9" i="1" s="1"/>
  <c r="T20" i="1" a="1"/>
  <c r="T20" i="1" s="1"/>
  <c r="BB6" i="1"/>
  <c r="BC6" i="1" s="1"/>
  <c r="T15" i="1" a="1"/>
  <c r="T15" i="1" s="1"/>
  <c r="BB12" i="1"/>
  <c r="BB13" i="1"/>
  <c r="T11" i="1" a="1"/>
  <c r="T11" i="1" s="1"/>
  <c r="BB21" i="1"/>
  <c r="BB15" i="1"/>
  <c r="T14" i="1" a="1"/>
  <c r="T14" i="1" s="1"/>
  <c r="T6" i="1" a="1"/>
  <c r="T6" i="1" s="1"/>
  <c r="T4" i="1" a="1"/>
  <c r="T4" i="1" s="1"/>
  <c r="BB5" i="1"/>
  <c r="T19" i="1" a="1"/>
  <c r="T19" i="1" s="1"/>
  <c r="T17" i="1" a="1"/>
  <c r="T17" i="1" s="1"/>
  <c r="BA17" i="1"/>
  <c r="BA9" i="1"/>
  <c r="BA19" i="1"/>
  <c r="BA11" i="1"/>
  <c r="CQ20" i="1" l="1"/>
  <c r="CQ5" i="1"/>
  <c r="CQ14" i="1"/>
  <c r="Z62" i="1"/>
  <c r="BB17" i="1"/>
  <c r="BB20" i="1"/>
  <c r="BB7" i="1"/>
  <c r="CQ10" i="1"/>
  <c r="BB11" i="1"/>
  <c r="CQ12" i="1"/>
  <c r="BB18" i="1"/>
  <c r="Z3" i="1"/>
  <c r="BB9" i="1"/>
  <c r="BB19" i="1"/>
  <c r="CQ6" i="1"/>
  <c r="BB16" i="1"/>
  <c r="Z6" i="1"/>
  <c r="BC4" i="1"/>
  <c r="Z4" i="1" s="1"/>
  <c r="E32" i="2" s="1"/>
  <c r="BH62" i="1"/>
  <c r="CR62" i="1"/>
  <c r="E34" i="2"/>
  <c r="Y13" i="9"/>
  <c r="AB13" i="9"/>
  <c r="AE13" i="9" s="1"/>
  <c r="BG5" i="9"/>
  <c r="CR5" i="9" s="1"/>
  <c r="CQ5" i="9"/>
  <c r="CL5" i="9" s="1"/>
  <c r="W5" i="9"/>
  <c r="Z5" i="9" s="1"/>
  <c r="AC5" i="9" s="1"/>
  <c r="AF5" i="9" s="1"/>
  <c r="BF21" i="9"/>
  <c r="CP21" i="9"/>
  <c r="AB12" i="9"/>
  <c r="AE12" i="9" s="1"/>
  <c r="Y12" i="9"/>
  <c r="AB19" i="9"/>
  <c r="AE19" i="9" s="1"/>
  <c r="Y19" i="9"/>
  <c r="K7" i="9"/>
  <c r="AY7" i="9"/>
  <c r="V7" i="9" s="1"/>
  <c r="K20" i="9"/>
  <c r="AY20" i="9"/>
  <c r="V20" i="9" s="1"/>
  <c r="BF20" i="9"/>
  <c r="CP20" i="9"/>
  <c r="CO18" i="9"/>
  <c r="BE18" i="9"/>
  <c r="CO6" i="9"/>
  <c r="BE6" i="9"/>
  <c r="K4" i="9"/>
  <c r="AY4" i="9"/>
  <c r="V4" i="9" s="1"/>
  <c r="Y5" i="9"/>
  <c r="AB5" i="9"/>
  <c r="AE5" i="9" s="1"/>
  <c r="CO8" i="9"/>
  <c r="BE8" i="9"/>
  <c r="CO16" i="9"/>
  <c r="BE16" i="9"/>
  <c r="BF9" i="9"/>
  <c r="CP9" i="9"/>
  <c r="AB8" i="9"/>
  <c r="AE8" i="9" s="1"/>
  <c r="Y8" i="9"/>
  <c r="Y3" i="9"/>
  <c r="AB3" i="9"/>
  <c r="AE3" i="9" s="1"/>
  <c r="CP11" i="9"/>
  <c r="BF11" i="9"/>
  <c r="K6" i="9"/>
  <c r="AY6" i="9"/>
  <c r="V6" i="9" s="1"/>
  <c r="CO14" i="9"/>
  <c r="BE14" i="9"/>
  <c r="K15" i="9"/>
  <c r="AY15" i="9"/>
  <c r="V15" i="9" s="1"/>
  <c r="CO15" i="9"/>
  <c r="BE15" i="9"/>
  <c r="Y9" i="9"/>
  <c r="AB9" i="9"/>
  <c r="AE9" i="9" s="1"/>
  <c r="CO12" i="9"/>
  <c r="BE12" i="9"/>
  <c r="AB10" i="9"/>
  <c r="AE10" i="9" s="1"/>
  <c r="Y10" i="9"/>
  <c r="AB16" i="9"/>
  <c r="AE16" i="9" s="1"/>
  <c r="Y16" i="9"/>
  <c r="CO17" i="9"/>
  <c r="BE17" i="9"/>
  <c r="CO7" i="9"/>
  <c r="BE7" i="9"/>
  <c r="CP3" i="9"/>
  <c r="BF3" i="9"/>
  <c r="AY21" i="9"/>
  <c r="V21" i="9" s="1"/>
  <c r="CO19" i="9"/>
  <c r="BE19" i="9"/>
  <c r="BF10" i="9"/>
  <c r="CP10" i="9"/>
  <c r="CO4" i="9"/>
  <c r="BE4" i="9"/>
  <c r="BF13" i="9"/>
  <c r="CP13" i="9"/>
  <c r="BA8" i="9"/>
  <c r="BY7" i="9"/>
  <c r="BR7" i="9"/>
  <c r="A8" i="9"/>
  <c r="DE5" i="1"/>
  <c r="H5" i="1"/>
  <c r="K5" i="1" s="1"/>
  <c r="E31" i="2"/>
  <c r="DE7" i="1"/>
  <c r="H7" i="1"/>
  <c r="K7" i="1" s="1"/>
  <c r="DF7" i="1"/>
  <c r="I7" i="1"/>
  <c r="L7" i="1" s="1"/>
  <c r="DB8" i="1"/>
  <c r="BH18" i="1"/>
  <c r="CS18" i="1" s="1"/>
  <c r="CR18" i="1"/>
  <c r="BH8" i="1"/>
  <c r="CS8" i="1" s="1"/>
  <c r="CR8" i="1"/>
  <c r="BH9" i="1"/>
  <c r="CS9" i="1" s="1"/>
  <c r="CR9" i="1"/>
  <c r="BG3" i="1"/>
  <c r="CQ3" i="1"/>
  <c r="BH7" i="1"/>
  <c r="CR7" i="1"/>
  <c r="BH19" i="1"/>
  <c r="CS19" i="1" s="1"/>
  <c r="CR19" i="1"/>
  <c r="BG15" i="1"/>
  <c r="CQ15" i="1"/>
  <c r="BH16" i="1"/>
  <c r="CS16" i="1" s="1"/>
  <c r="CR16" i="1"/>
  <c r="BG13" i="1"/>
  <c r="CQ13" i="1"/>
  <c r="BH11" i="1"/>
  <c r="CS11" i="1" s="1"/>
  <c r="CR11" i="1"/>
  <c r="BH17" i="1"/>
  <c r="CS17" i="1" s="1"/>
  <c r="CR17" i="1"/>
  <c r="BG4" i="1"/>
  <c r="CQ4" i="1"/>
  <c r="BG21" i="1"/>
  <c r="CQ21" i="1"/>
  <c r="A7" i="7"/>
  <c r="C35" i="3"/>
  <c r="B36" i="3"/>
  <c r="A10" i="3"/>
  <c r="BG10" i="1"/>
  <c r="BG14" i="1"/>
  <c r="BG12" i="1"/>
  <c r="BG6" i="1"/>
  <c r="BG20" i="1"/>
  <c r="BG5" i="1"/>
  <c r="U3" i="1" a="1"/>
  <c r="U3" i="1" s="1"/>
  <c r="E3" i="8" s="1"/>
  <c r="U12" i="1" a="1"/>
  <c r="U12" i="1" s="1"/>
  <c r="E12" i="8" s="1"/>
  <c r="U17" i="1" a="1"/>
  <c r="U17" i="1" s="1"/>
  <c r="E17" i="8" s="1"/>
  <c r="U10" i="1" a="1"/>
  <c r="U10" i="1" s="1"/>
  <c r="E10" i="8" s="1"/>
  <c r="U14" i="1" a="1"/>
  <c r="U14" i="1" s="1"/>
  <c r="E14" i="8" s="1"/>
  <c r="U15" i="1" a="1"/>
  <c r="U15" i="1" s="1"/>
  <c r="E15" i="8" s="1"/>
  <c r="U19" i="1" a="1"/>
  <c r="U19" i="1" s="1"/>
  <c r="E19" i="8" s="1"/>
  <c r="U16" i="1" a="1"/>
  <c r="U16" i="1" s="1"/>
  <c r="E16" i="8" s="1"/>
  <c r="U11" i="1" a="1"/>
  <c r="U11" i="1" s="1"/>
  <c r="E11" i="8" s="1"/>
  <c r="U8" i="1" a="1"/>
  <c r="U8" i="1" s="1"/>
  <c r="E8" i="8" s="1"/>
  <c r="U13" i="1" a="1"/>
  <c r="U13" i="1" s="1"/>
  <c r="E13" i="8" s="1"/>
  <c r="U6" i="1" a="1"/>
  <c r="U6" i="1" s="1"/>
  <c r="E6" i="8" s="1"/>
  <c r="U5" i="1" a="1"/>
  <c r="U5" i="1" s="1"/>
  <c r="E5" i="8" s="1"/>
  <c r="U7" i="1" a="1"/>
  <c r="U7" i="1" s="1"/>
  <c r="E7" i="8" s="1"/>
  <c r="U21" i="1" a="1"/>
  <c r="U21" i="1" s="1"/>
  <c r="E21" i="8" s="1"/>
  <c r="U20" i="1" a="1"/>
  <c r="U20" i="1" s="1"/>
  <c r="E20" i="8" s="1"/>
  <c r="U9" i="1" a="1"/>
  <c r="U9" i="1" s="1"/>
  <c r="E9" i="8" s="1"/>
  <c r="U18" i="1" a="1"/>
  <c r="U18" i="1" s="1"/>
  <c r="E18" i="8" s="1"/>
  <c r="AC62" i="1" l="1"/>
  <c r="I24" i="12"/>
  <c r="W62" i="1"/>
  <c r="H24" i="12" s="1"/>
  <c r="Z7" i="1"/>
  <c r="CS7" i="1"/>
  <c r="BC5" i="1"/>
  <c r="BC7" i="1"/>
  <c r="BI62" i="1"/>
  <c r="CS62" i="1"/>
  <c r="AC6" i="1"/>
  <c r="AF6" i="1"/>
  <c r="AI6" i="1" s="1"/>
  <c r="D5" i="5" s="1"/>
  <c r="G5" i="5" s="1"/>
  <c r="BF6" i="9"/>
  <c r="CP6" i="9"/>
  <c r="Y7" i="9"/>
  <c r="AB7" i="9"/>
  <c r="AE7" i="9" s="1"/>
  <c r="BA9" i="9"/>
  <c r="CQ10" i="9"/>
  <c r="BG10" i="9"/>
  <c r="CR10" i="9" s="1"/>
  <c r="CL10" i="9" s="1"/>
  <c r="BF17" i="9"/>
  <c r="CP17" i="9"/>
  <c r="Y15" i="9"/>
  <c r="AB15" i="9"/>
  <c r="AE15" i="9" s="1"/>
  <c r="CP7" i="9"/>
  <c r="BF7" i="9"/>
  <c r="BF14" i="9"/>
  <c r="CP14" i="9"/>
  <c r="BF19" i="9"/>
  <c r="CP19" i="9"/>
  <c r="AB6" i="9"/>
  <c r="AE6" i="9" s="1"/>
  <c r="Y6" i="9"/>
  <c r="BF18" i="9"/>
  <c r="CP18" i="9"/>
  <c r="A9" i="9"/>
  <c r="BY8" i="9"/>
  <c r="BR8" i="9"/>
  <c r="BF4" i="9"/>
  <c r="CP4" i="9"/>
  <c r="AB20" i="9"/>
  <c r="AE20" i="9" s="1"/>
  <c r="Y20" i="9"/>
  <c r="BF8" i="9"/>
  <c r="CP8" i="9"/>
  <c r="BF15" i="9"/>
  <c r="CP15" i="9"/>
  <c r="Y21" i="9"/>
  <c r="AB21" i="9"/>
  <c r="AE21" i="9" s="1"/>
  <c r="BG11" i="9"/>
  <c r="CR11" i="9" s="1"/>
  <c r="CL11" i="9" s="1"/>
  <c r="CQ11" i="9"/>
  <c r="BG9" i="9"/>
  <c r="CR9" i="9" s="1"/>
  <c r="CQ9" i="9"/>
  <c r="CL20" i="9"/>
  <c r="BF12" i="9"/>
  <c r="CP12" i="9"/>
  <c r="BG21" i="9"/>
  <c r="CR21" i="9" s="1"/>
  <c r="CQ21" i="9"/>
  <c r="CQ13" i="9"/>
  <c r="BG13" i="9"/>
  <c r="CR13" i="9" s="1"/>
  <c r="CL13" i="9" s="1"/>
  <c r="BG3" i="9"/>
  <c r="CR3" i="9" s="1"/>
  <c r="CQ3" i="9"/>
  <c r="BF16" i="9"/>
  <c r="CP16" i="9"/>
  <c r="AB4" i="9"/>
  <c r="AE4" i="9" s="1"/>
  <c r="Y4" i="9"/>
  <c r="BG20" i="9"/>
  <c r="CR20" i="9" s="1"/>
  <c r="CQ20" i="9"/>
  <c r="AC3" i="1"/>
  <c r="AF3" i="1"/>
  <c r="AI3" i="1" s="1"/>
  <c r="DE8" i="1"/>
  <c r="H8" i="1"/>
  <c r="BC8" i="1" s="1"/>
  <c r="Z8" i="1" s="1"/>
  <c r="DF8" i="1"/>
  <c r="I8" i="1"/>
  <c r="L8" i="1" s="1"/>
  <c r="BI16" i="1"/>
  <c r="BJ16" i="1" s="1"/>
  <c r="BI17" i="1"/>
  <c r="BJ17" i="1" s="1"/>
  <c r="I18" i="8"/>
  <c r="H18" i="8"/>
  <c r="I17" i="8"/>
  <c r="H17" i="8"/>
  <c r="I12" i="8"/>
  <c r="H12" i="8"/>
  <c r="H9" i="8"/>
  <c r="I9" i="8"/>
  <c r="I11" i="8"/>
  <c r="H11" i="8"/>
  <c r="I8" i="8"/>
  <c r="H8" i="8"/>
  <c r="I20" i="8"/>
  <c r="H20" i="8"/>
  <c r="I16" i="8"/>
  <c r="H16" i="8"/>
  <c r="I7" i="8"/>
  <c r="H7" i="8"/>
  <c r="I15" i="8"/>
  <c r="H15" i="8"/>
  <c r="H5" i="8"/>
  <c r="I5" i="8"/>
  <c r="I14" i="8"/>
  <c r="H14" i="8"/>
  <c r="H13" i="8"/>
  <c r="I13" i="8"/>
  <c r="I19" i="8"/>
  <c r="H19" i="8"/>
  <c r="I6" i="8"/>
  <c r="H6" i="8"/>
  <c r="I10" i="8"/>
  <c r="H10" i="8"/>
  <c r="I21" i="8"/>
  <c r="H21" i="8"/>
  <c r="DB9" i="1"/>
  <c r="BI18" i="1"/>
  <c r="BI8" i="1"/>
  <c r="BI11" i="1"/>
  <c r="CT11" i="1" s="1"/>
  <c r="BI19" i="1"/>
  <c r="BJ19" i="1" s="1"/>
  <c r="I3" i="8"/>
  <c r="H3" i="8"/>
  <c r="BI7" i="1"/>
  <c r="BJ7" i="1" s="1"/>
  <c r="BH12" i="1"/>
  <c r="CR12" i="1"/>
  <c r="BH4" i="1"/>
  <c r="CR4" i="1"/>
  <c r="CT16" i="1"/>
  <c r="BH15" i="1"/>
  <c r="CR15" i="1"/>
  <c r="BH6" i="1"/>
  <c r="CR6" i="1"/>
  <c r="BH13" i="1"/>
  <c r="CR13" i="1"/>
  <c r="BH14" i="1"/>
  <c r="CR14" i="1"/>
  <c r="BH21" i="1"/>
  <c r="CR21" i="1"/>
  <c r="BH5" i="1"/>
  <c r="CR5" i="1"/>
  <c r="BH20" i="1"/>
  <c r="CR20" i="1"/>
  <c r="BH10" i="1"/>
  <c r="CR10" i="1"/>
  <c r="BI9" i="1"/>
  <c r="BH3" i="1"/>
  <c r="CR3" i="1"/>
  <c r="A8" i="7"/>
  <c r="C36" i="3"/>
  <c r="B37" i="3"/>
  <c r="A11" i="3"/>
  <c r="AC4" i="1"/>
  <c r="AF4" i="1"/>
  <c r="AI4" i="1" s="1"/>
  <c r="D3" i="5" s="1"/>
  <c r="U4" i="1" a="1"/>
  <c r="U4" i="1" s="1"/>
  <c r="E4" i="8" s="1"/>
  <c r="AF62" i="1" l="1"/>
  <c r="K24" i="12"/>
  <c r="Z5" i="1"/>
  <c r="CT18" i="1"/>
  <c r="BJ8" i="1"/>
  <c r="BK8" i="1" s="1"/>
  <c r="AA8" i="1"/>
  <c r="CU7" i="1"/>
  <c r="BK7" i="1"/>
  <c r="AA7" i="1" s="1"/>
  <c r="BJ62" i="1"/>
  <c r="CT62" i="1"/>
  <c r="BJ18" i="1"/>
  <c r="CU16" i="1"/>
  <c r="D2" i="5"/>
  <c r="G2" i="5" s="1"/>
  <c r="CL3" i="9"/>
  <c r="BQ7" i="9"/>
  <c r="CQ16" i="9"/>
  <c r="BG16" i="9"/>
  <c r="CR16" i="9" s="1"/>
  <c r="CL16" i="9" s="1"/>
  <c r="BQ9" i="9"/>
  <c r="BQ19" i="9"/>
  <c r="BG14" i="9"/>
  <c r="CR14" i="9" s="1"/>
  <c r="CQ14" i="9"/>
  <c r="CL9" i="9"/>
  <c r="BG7" i="9"/>
  <c r="CR7" i="9" s="1"/>
  <c r="CQ7" i="9"/>
  <c r="CQ17" i="9"/>
  <c r="BG17" i="9"/>
  <c r="CR17" i="9" s="1"/>
  <c r="BQ14" i="9"/>
  <c r="CQ15" i="9"/>
  <c r="BG15" i="9"/>
  <c r="CR15" i="9" s="1"/>
  <c r="CL15" i="9" s="1"/>
  <c r="BG4" i="9"/>
  <c r="CQ4" i="9"/>
  <c r="BQ6" i="9"/>
  <c r="BQ15" i="9"/>
  <c r="BG6" i="9"/>
  <c r="CR6" i="9" s="1"/>
  <c r="CQ6" i="9"/>
  <c r="W6" i="9"/>
  <c r="Z6" i="9" s="1"/>
  <c r="AC6" i="9" s="1"/>
  <c r="AF6" i="9" s="1"/>
  <c r="BQ5" i="9"/>
  <c r="BQ20" i="9"/>
  <c r="CL21" i="9"/>
  <c r="CQ12" i="9"/>
  <c r="BG12" i="9"/>
  <c r="CR12" i="9" s="1"/>
  <c r="CL12" i="9" s="1"/>
  <c r="BG8" i="9"/>
  <c r="CR8" i="9" s="1"/>
  <c r="CQ8" i="9"/>
  <c r="W8" i="9"/>
  <c r="Z8" i="9" s="1"/>
  <c r="AC8" i="9" s="1"/>
  <c r="AF8" i="9" s="1"/>
  <c r="BQ10" i="9"/>
  <c r="BQ4" i="9"/>
  <c r="BQ13" i="9"/>
  <c r="BQ16" i="9"/>
  <c r="A10" i="9"/>
  <c r="BY9" i="9"/>
  <c r="BR9" i="9"/>
  <c r="CQ19" i="9"/>
  <c r="BG19" i="9"/>
  <c r="CR19" i="9" s="1"/>
  <c r="CL19" i="9" s="1"/>
  <c r="BQ17" i="9"/>
  <c r="BA10" i="9"/>
  <c r="W9" i="9"/>
  <c r="Z9" i="9" s="1"/>
  <c r="AC9" i="9" s="1"/>
  <c r="AF9" i="9" s="1"/>
  <c r="BQ11" i="9"/>
  <c r="BG18" i="9"/>
  <c r="CR18" i="9" s="1"/>
  <c r="CQ18" i="9"/>
  <c r="BQ18" i="9"/>
  <c r="BQ8" i="9"/>
  <c r="BQ12" i="9"/>
  <c r="BQ21" i="9"/>
  <c r="BQ3" i="9"/>
  <c r="W3" i="9"/>
  <c r="Z3" i="9" s="1"/>
  <c r="AC3" i="9" s="1"/>
  <c r="AF3" i="9" s="1"/>
  <c r="E35" i="2"/>
  <c r="AC7" i="1"/>
  <c r="AF7" i="1"/>
  <c r="AI7" i="1" s="1"/>
  <c r="D6" i="5" s="1"/>
  <c r="G6" i="5" s="1"/>
  <c r="DF9" i="1"/>
  <c r="I9" i="1"/>
  <c r="L9" i="1" s="1"/>
  <c r="DE9" i="1"/>
  <c r="H9" i="1"/>
  <c r="BC9" i="1" s="1"/>
  <c r="Z9" i="1" s="1"/>
  <c r="K8" i="1"/>
  <c r="CT7" i="1"/>
  <c r="CU17" i="1"/>
  <c r="BJ11" i="1"/>
  <c r="CT17" i="1"/>
  <c r="CU19" i="1"/>
  <c r="CT19" i="1"/>
  <c r="I4" i="8"/>
  <c r="H4" i="8"/>
  <c r="CT8" i="1"/>
  <c r="DB10" i="1"/>
  <c r="CU8" i="1"/>
  <c r="CV8" i="1"/>
  <c r="CS13" i="1"/>
  <c r="BI13" i="1"/>
  <c r="CS3" i="1"/>
  <c r="BI3" i="1"/>
  <c r="CS4" i="1"/>
  <c r="BI4" i="1"/>
  <c r="BI14" i="1"/>
  <c r="CS14" i="1"/>
  <c r="CS21" i="1"/>
  <c r="BI21" i="1"/>
  <c r="BJ9" i="1"/>
  <c r="CT9" i="1"/>
  <c r="BI6" i="1"/>
  <c r="CS6" i="1"/>
  <c r="CS15" i="1"/>
  <c r="BI15" i="1"/>
  <c r="CU18" i="1"/>
  <c r="BI12" i="1"/>
  <c r="CS12" i="1"/>
  <c r="BI5" i="1"/>
  <c r="CS5" i="1"/>
  <c r="BI20" i="1"/>
  <c r="CS20" i="1"/>
  <c r="BI10" i="1"/>
  <c r="CS10" i="1"/>
  <c r="G3" i="5"/>
  <c r="A9" i="7"/>
  <c r="B38" i="3"/>
  <c r="C37" i="3"/>
  <c r="A12" i="3"/>
  <c r="L24" i="12" l="1"/>
  <c r="AI62" i="1"/>
  <c r="M24" i="12" s="1"/>
  <c r="AF5" i="1"/>
  <c r="AI5" i="1" s="1"/>
  <c r="D4" i="5" s="1"/>
  <c r="G4" i="5" s="1"/>
  <c r="AC5" i="1"/>
  <c r="E33" i="2"/>
  <c r="CU11" i="1"/>
  <c r="BK62" i="1"/>
  <c r="AA62" i="1" s="1"/>
  <c r="X62" i="1" s="1"/>
  <c r="H24" i="11" s="1"/>
  <c r="CU62" i="1"/>
  <c r="BK9" i="1"/>
  <c r="AA9" i="1" s="1"/>
  <c r="BA11" i="9"/>
  <c r="W10" i="9"/>
  <c r="Z10" i="9" s="1"/>
  <c r="AC10" i="9" s="1"/>
  <c r="AF10" i="9" s="1"/>
  <c r="CL7" i="9"/>
  <c r="CR4" i="9"/>
  <c r="CL4" i="9" s="1"/>
  <c r="W4" i="9"/>
  <c r="Z4" i="9" s="1"/>
  <c r="AC4" i="9" s="1"/>
  <c r="AF4" i="9" s="1"/>
  <c r="A11" i="9"/>
  <c r="BY10" i="9"/>
  <c r="BR10" i="9"/>
  <c r="CL14" i="9"/>
  <c r="W7" i="9"/>
  <c r="Z7" i="9" s="1"/>
  <c r="AC7" i="9" s="1"/>
  <c r="AF7" i="9" s="1"/>
  <c r="CL18" i="9"/>
  <c r="CL8" i="9"/>
  <c r="CL6" i="9"/>
  <c r="CL17" i="9"/>
  <c r="DF10" i="1"/>
  <c r="I10" i="1"/>
  <c r="L10" i="1" s="1"/>
  <c r="K9" i="1"/>
  <c r="DE10" i="1"/>
  <c r="H10" i="1"/>
  <c r="BC10" i="1" s="1"/>
  <c r="Z10" i="1" s="1"/>
  <c r="E36" i="2"/>
  <c r="AF8" i="1"/>
  <c r="AI8" i="1" s="1"/>
  <c r="AC8" i="1"/>
  <c r="E36" i="3"/>
  <c r="CP8" i="1"/>
  <c r="DB11" i="1"/>
  <c r="BJ10" i="1"/>
  <c r="CT10" i="1"/>
  <c r="CV7" i="1"/>
  <c r="CP7" i="1" s="1"/>
  <c r="BJ6" i="1"/>
  <c r="BK6" i="1" s="1"/>
  <c r="AA6" i="1" s="1"/>
  <c r="CT6" i="1"/>
  <c r="BJ3" i="1"/>
  <c r="CT3" i="1"/>
  <c r="CU9" i="1"/>
  <c r="BJ4" i="1"/>
  <c r="CT4" i="1"/>
  <c r="BJ12" i="1"/>
  <c r="CT12" i="1"/>
  <c r="BJ20" i="1"/>
  <c r="CT20" i="1"/>
  <c r="BJ21" i="1"/>
  <c r="CT21" i="1"/>
  <c r="BJ14" i="1"/>
  <c r="CT14" i="1"/>
  <c r="BJ13" i="1"/>
  <c r="CT13" i="1"/>
  <c r="BJ5" i="1"/>
  <c r="BK5" i="1" s="1"/>
  <c r="AA5" i="1" s="1"/>
  <c r="CT5" i="1"/>
  <c r="CT15" i="1"/>
  <c r="BJ15" i="1"/>
  <c r="A10" i="7"/>
  <c r="B39" i="3"/>
  <c r="C38" i="3"/>
  <c r="A13" i="3"/>
  <c r="BK4" i="1" l="1"/>
  <c r="AA4" i="1"/>
  <c r="BK3" i="1"/>
  <c r="AA3" i="1" s="1"/>
  <c r="I24" i="11"/>
  <c r="AD62" i="1"/>
  <c r="CV62" i="1"/>
  <c r="CP62" i="1" s="1"/>
  <c r="BK10" i="1"/>
  <c r="AA10" i="1" s="1"/>
  <c r="BA12" i="9"/>
  <c r="W11" i="9"/>
  <c r="Z11" i="9" s="1"/>
  <c r="AC11" i="9" s="1"/>
  <c r="AF11" i="9" s="1"/>
  <c r="BR11" i="9"/>
  <c r="BY11" i="9"/>
  <c r="A12" i="9"/>
  <c r="D7" i="5"/>
  <c r="DE11" i="1"/>
  <c r="H11" i="1"/>
  <c r="BC11" i="1" s="1"/>
  <c r="Z11" i="1" s="1"/>
  <c r="E37" i="2"/>
  <c r="AF9" i="1"/>
  <c r="AI9" i="1" s="1"/>
  <c r="AC9" i="1"/>
  <c r="K10" i="1"/>
  <c r="DF11" i="1"/>
  <c r="I11" i="1"/>
  <c r="BK11" i="1" s="1"/>
  <c r="AA11" i="1" s="1"/>
  <c r="AD8" i="1"/>
  <c r="AG8" i="1" s="1"/>
  <c r="AJ8" i="1" s="1"/>
  <c r="DB12" i="1"/>
  <c r="CU13" i="1"/>
  <c r="CU14" i="1"/>
  <c r="CU15" i="1"/>
  <c r="CU12" i="1"/>
  <c r="CU3" i="1"/>
  <c r="CU10" i="1"/>
  <c r="CU20" i="1"/>
  <c r="CU21" i="1"/>
  <c r="CU4" i="1"/>
  <c r="CU6" i="1"/>
  <c r="E35" i="3"/>
  <c r="AD7" i="1"/>
  <c r="AG7" i="1" s="1"/>
  <c r="AJ7" i="1" s="1"/>
  <c r="CU5" i="1"/>
  <c r="CV9" i="1"/>
  <c r="CP9" i="1" s="1"/>
  <c r="A11" i="7"/>
  <c r="B40" i="3"/>
  <c r="C39" i="3"/>
  <c r="A14" i="3"/>
  <c r="AG62" i="1" l="1"/>
  <c r="K24" i="11"/>
  <c r="W12" i="9"/>
  <c r="Z12" i="9" s="1"/>
  <c r="AC12" i="9" s="1"/>
  <c r="AF12" i="9" s="1"/>
  <c r="BA13" i="9"/>
  <c r="BY12" i="9"/>
  <c r="BR12" i="9"/>
  <c r="A13" i="9"/>
  <c r="D8" i="5"/>
  <c r="L11" i="1"/>
  <c r="DE12" i="1"/>
  <c r="H12" i="1"/>
  <c r="BC12" i="1" s="1"/>
  <c r="Z12" i="1" s="1"/>
  <c r="E38" i="2"/>
  <c r="AF10" i="1"/>
  <c r="AI10" i="1" s="1"/>
  <c r="AC10" i="1"/>
  <c r="K11" i="1"/>
  <c r="DF12" i="1"/>
  <c r="I12" i="1"/>
  <c r="BK12" i="1" s="1"/>
  <c r="AA12" i="1" s="1"/>
  <c r="G7" i="5"/>
  <c r="DB13" i="1"/>
  <c r="CV3" i="1"/>
  <c r="CP3" i="1" s="1"/>
  <c r="CV10" i="1"/>
  <c r="CP10" i="1" s="1"/>
  <c r="CV5" i="1"/>
  <c r="CP5" i="1" s="1"/>
  <c r="E37" i="3"/>
  <c r="AD9" i="1"/>
  <c r="AG9" i="1" s="1"/>
  <c r="AJ9" i="1" s="1"/>
  <c r="CV6" i="1"/>
  <c r="CP6" i="1" s="1"/>
  <c r="CV4" i="1"/>
  <c r="CP4" i="1" s="1"/>
  <c r="A12" i="7"/>
  <c r="B41" i="3"/>
  <c r="C40" i="3"/>
  <c r="A15" i="3"/>
  <c r="L24" i="11" l="1"/>
  <c r="AJ62" i="1"/>
  <c r="M24" i="11" s="1"/>
  <c r="W13" i="9"/>
  <c r="Z13" i="9" s="1"/>
  <c r="AC13" i="9" s="1"/>
  <c r="AF13" i="9" s="1"/>
  <c r="BA14" i="9"/>
  <c r="BR13" i="9"/>
  <c r="BY13" i="9"/>
  <c r="A14" i="9"/>
  <c r="K12" i="1"/>
  <c r="DF13" i="1"/>
  <c r="I13" i="1"/>
  <c r="BK13" i="1" s="1"/>
  <c r="AA13" i="1" s="1"/>
  <c r="CV11" i="1"/>
  <c r="CP11" i="1" s="1"/>
  <c r="DE13" i="1"/>
  <c r="H13" i="1"/>
  <c r="BC13" i="1" s="1"/>
  <c r="Z13" i="1" s="1"/>
  <c r="L12" i="1"/>
  <c r="D9" i="5"/>
  <c r="E39" i="2"/>
  <c r="AF11" i="1"/>
  <c r="AI11" i="1" s="1"/>
  <c r="AC11" i="1"/>
  <c r="G8" i="5"/>
  <c r="DB14" i="1"/>
  <c r="E32" i="3"/>
  <c r="AD4" i="1"/>
  <c r="AG4" i="1" s="1"/>
  <c r="AJ4" i="1" s="1"/>
  <c r="E34" i="3"/>
  <c r="AD6" i="1"/>
  <c r="AG6" i="1" s="1"/>
  <c r="AJ6" i="1" s="1"/>
  <c r="E38" i="3"/>
  <c r="AD10" i="1"/>
  <c r="AG10" i="1" s="1"/>
  <c r="AJ10" i="1" s="1"/>
  <c r="E33" i="3"/>
  <c r="AD5" i="1"/>
  <c r="AG5" i="1" s="1"/>
  <c r="AJ5" i="1" s="1"/>
  <c r="E31" i="3"/>
  <c r="AD3" i="1"/>
  <c r="A13" i="7"/>
  <c r="C41" i="3"/>
  <c r="B42" i="3"/>
  <c r="A16" i="3"/>
  <c r="W14" i="9" l="1"/>
  <c r="Z14" i="9" s="1"/>
  <c r="AC14" i="9" s="1"/>
  <c r="AF14" i="9" s="1"/>
  <c r="BA15" i="9"/>
  <c r="BY14" i="9"/>
  <c r="BR14" i="9"/>
  <c r="A15" i="9"/>
  <c r="DF14" i="1"/>
  <c r="I14" i="1"/>
  <c r="BK14" i="1" s="1"/>
  <c r="AA14" i="1" s="1"/>
  <c r="K13" i="1"/>
  <c r="E39" i="3"/>
  <c r="AD11" i="1"/>
  <c r="AG11" i="1" s="1"/>
  <c r="AJ11" i="1" s="1"/>
  <c r="L13" i="1"/>
  <c r="G9" i="5"/>
  <c r="E40" i="2"/>
  <c r="AC12" i="1"/>
  <c r="AF12" i="1"/>
  <c r="AI12" i="1" s="1"/>
  <c r="CV12" i="1"/>
  <c r="CP12" i="1" s="1"/>
  <c r="DE14" i="1"/>
  <c r="H14" i="1"/>
  <c r="BC14" i="1" s="1"/>
  <c r="Z14" i="1" s="1"/>
  <c r="D10" i="5"/>
  <c r="AG3" i="1"/>
  <c r="AJ3" i="1" s="1"/>
  <c r="N3" i="8"/>
  <c r="DB15" i="1"/>
  <c r="A14" i="7"/>
  <c r="A17" i="3"/>
  <c r="B43" i="3"/>
  <c r="C42" i="3"/>
  <c r="BR15" i="9" l="1"/>
  <c r="BY15" i="9"/>
  <c r="A16" i="9"/>
  <c r="W15" i="9"/>
  <c r="Z15" i="9" s="1"/>
  <c r="AC15" i="9" s="1"/>
  <c r="AF15" i="9" s="1"/>
  <c r="BA16" i="9"/>
  <c r="E41" i="2"/>
  <c r="AC13" i="1"/>
  <c r="AF13" i="1"/>
  <c r="AI13" i="1" s="1"/>
  <c r="DF15" i="1"/>
  <c r="I15" i="1"/>
  <c r="BK15" i="1" s="1"/>
  <c r="AA15" i="1" s="1"/>
  <c r="G10" i="5"/>
  <c r="CV13" i="1"/>
  <c r="CP13" i="1" s="1"/>
  <c r="L14" i="1"/>
  <c r="K14" i="1"/>
  <c r="E40" i="3"/>
  <c r="AD12" i="1"/>
  <c r="AG12" i="1" s="1"/>
  <c r="AJ12" i="1" s="1"/>
  <c r="D11" i="5"/>
  <c r="DE15" i="1"/>
  <c r="H15" i="1"/>
  <c r="BC15" i="1" s="1"/>
  <c r="Z15" i="1" s="1"/>
  <c r="DB16" i="1"/>
  <c r="A15" i="7"/>
  <c r="A18" i="3"/>
  <c r="C43" i="3"/>
  <c r="B44" i="3"/>
  <c r="BY16" i="9" l="1"/>
  <c r="BR16" i="9"/>
  <c r="A17" i="9"/>
  <c r="W16" i="9"/>
  <c r="Z16" i="9" s="1"/>
  <c r="AC16" i="9" s="1"/>
  <c r="AF16" i="9" s="1"/>
  <c r="BA17" i="9"/>
  <c r="AD13" i="1"/>
  <c r="AG13" i="1" s="1"/>
  <c r="AJ13" i="1" s="1"/>
  <c r="E41" i="3"/>
  <c r="L15" i="1"/>
  <c r="E42" i="2"/>
  <c r="AC14" i="1"/>
  <c r="AF14" i="1"/>
  <c r="AI14" i="1" s="1"/>
  <c r="G11" i="5"/>
  <c r="D12" i="5"/>
  <c r="DE16" i="1"/>
  <c r="H16" i="1"/>
  <c r="BC16" i="1" s="1"/>
  <c r="Z16" i="1" s="1"/>
  <c r="DF16" i="1"/>
  <c r="I16" i="1"/>
  <c r="BK16" i="1" s="1"/>
  <c r="AA16" i="1" s="1"/>
  <c r="K15" i="1"/>
  <c r="CV14" i="1"/>
  <c r="CP14" i="1" s="1"/>
  <c r="DB17" i="1"/>
  <c r="A16" i="7"/>
  <c r="C44" i="3"/>
  <c r="B45" i="3"/>
  <c r="A19" i="3"/>
  <c r="BR17" i="9" l="1"/>
  <c r="BY17" i="9"/>
  <c r="A18" i="9"/>
  <c r="W17" i="9"/>
  <c r="Z17" i="9" s="1"/>
  <c r="AC17" i="9" s="1"/>
  <c r="AF17" i="9" s="1"/>
  <c r="BA18" i="9"/>
  <c r="DE17" i="1"/>
  <c r="H17" i="1"/>
  <c r="BC17" i="1" s="1"/>
  <c r="Z17" i="1" s="1"/>
  <c r="E43" i="2"/>
  <c r="AF15" i="1"/>
  <c r="AI15" i="1" s="1"/>
  <c r="AC15" i="1"/>
  <c r="D13" i="5"/>
  <c r="DF17" i="1"/>
  <c r="I17" i="1"/>
  <c r="BK17" i="1" s="1"/>
  <c r="AA17" i="1" s="1"/>
  <c r="E42" i="3"/>
  <c r="AD14" i="1"/>
  <c r="AG14" i="1" s="1"/>
  <c r="AJ14" i="1" s="1"/>
  <c r="K16" i="1"/>
  <c r="G12" i="5"/>
  <c r="L16" i="1"/>
  <c r="CV15" i="1"/>
  <c r="CP15" i="1" s="1"/>
  <c r="DB18" i="1"/>
  <c r="A17" i="7"/>
  <c r="A20" i="3"/>
  <c r="B46" i="3"/>
  <c r="C45" i="3"/>
  <c r="W18" i="9" l="1"/>
  <c r="Z18" i="9" s="1"/>
  <c r="AC18" i="9" s="1"/>
  <c r="AF18" i="9" s="1"/>
  <c r="BA19" i="9"/>
  <c r="BY18" i="9"/>
  <c r="BR18" i="9"/>
  <c r="A19" i="9"/>
  <c r="D14" i="5"/>
  <c r="G13" i="5"/>
  <c r="E43" i="3"/>
  <c r="AD15" i="1"/>
  <c r="AG15" i="1" s="1"/>
  <c r="AJ15" i="1" s="1"/>
  <c r="L17" i="1"/>
  <c r="DE18" i="1"/>
  <c r="H18" i="1"/>
  <c r="BC18" i="1" s="1"/>
  <c r="Z18" i="1" s="1"/>
  <c r="K17" i="1"/>
  <c r="E44" i="2"/>
  <c r="AC16" i="1"/>
  <c r="AF16" i="1"/>
  <c r="AI16" i="1" s="1"/>
  <c r="DF18" i="1"/>
  <c r="I18" i="1"/>
  <c r="BK18" i="1" s="1"/>
  <c r="AA18" i="1" s="1"/>
  <c r="CV16" i="1"/>
  <c r="CP16" i="1" s="1"/>
  <c r="DB19" i="1"/>
  <c r="A18" i="7"/>
  <c r="B47" i="3"/>
  <c r="C46" i="3"/>
  <c r="A21" i="3"/>
  <c r="BR19" i="9" l="1"/>
  <c r="A20" i="9"/>
  <c r="BY19" i="9"/>
  <c r="W19" i="9"/>
  <c r="Z19" i="9" s="1"/>
  <c r="AC19" i="9" s="1"/>
  <c r="AF19" i="9" s="1"/>
  <c r="BA20" i="9"/>
  <c r="CV17" i="1"/>
  <c r="CP17" i="1" s="1"/>
  <c r="DF19" i="1"/>
  <c r="I19" i="1"/>
  <c r="BK19" i="1" s="1"/>
  <c r="AA19" i="1" s="1"/>
  <c r="G14" i="5"/>
  <c r="E45" i="2"/>
  <c r="AF17" i="1"/>
  <c r="AI17" i="1" s="1"/>
  <c r="AC17" i="1"/>
  <c r="E44" i="3"/>
  <c r="AD16" i="1"/>
  <c r="AG16" i="1" s="1"/>
  <c r="AJ16" i="1" s="1"/>
  <c r="L18" i="1"/>
  <c r="D15" i="5"/>
  <c r="DE19" i="1"/>
  <c r="H19" i="1"/>
  <c r="BC19" i="1" s="1"/>
  <c r="Z19" i="1" s="1"/>
  <c r="K18" i="1"/>
  <c r="DB20" i="1"/>
  <c r="A19" i="7"/>
  <c r="B48" i="3"/>
  <c r="C47" i="3"/>
  <c r="BA21" i="9" l="1"/>
  <c r="W21" i="9" s="1"/>
  <c r="Z21" i="9" s="1"/>
  <c r="AC21" i="9" s="1"/>
  <c r="AF21" i="9" s="1"/>
  <c r="W20" i="9"/>
  <c r="Z20" i="9" s="1"/>
  <c r="AC20" i="9" s="1"/>
  <c r="AF20" i="9" s="1"/>
  <c r="BY20" i="9"/>
  <c r="BR20" i="9"/>
  <c r="A21" i="9"/>
  <c r="L19" i="1"/>
  <c r="DE20" i="1"/>
  <c r="H20" i="1"/>
  <c r="BC20" i="1" s="1"/>
  <c r="Z20" i="1" s="1"/>
  <c r="G15" i="5"/>
  <c r="E46" i="2"/>
  <c r="AC18" i="1"/>
  <c r="AF18" i="1"/>
  <c r="AI18" i="1" s="1"/>
  <c r="D16" i="5"/>
  <c r="E45" i="3"/>
  <c r="AD17" i="1"/>
  <c r="AG17" i="1" s="1"/>
  <c r="AJ17" i="1" s="1"/>
  <c r="K19" i="1"/>
  <c r="DF20" i="1"/>
  <c r="I20" i="1"/>
  <c r="BK20" i="1" s="1"/>
  <c r="AA20" i="1" s="1"/>
  <c r="CV18" i="1"/>
  <c r="CP18" i="1" s="1"/>
  <c r="DB21" i="1"/>
  <c r="A20" i="7"/>
  <c r="B49" i="3"/>
  <c r="C48" i="3"/>
  <c r="BX17" i="9" l="1"/>
  <c r="BR21" i="9"/>
  <c r="BY21" i="9"/>
  <c r="BX18" i="9"/>
  <c r="BX19" i="9"/>
  <c r="BX20" i="9"/>
  <c r="BX21" i="9"/>
  <c r="BX5" i="9"/>
  <c r="BX9" i="9"/>
  <c r="BX7" i="9"/>
  <c r="BX6" i="9"/>
  <c r="BX10" i="9"/>
  <c r="BX4" i="9"/>
  <c r="BX3" i="9"/>
  <c r="BX8" i="9"/>
  <c r="BX12" i="9"/>
  <c r="BX13" i="9"/>
  <c r="BX11" i="9"/>
  <c r="BX14" i="9"/>
  <c r="BX15" i="9"/>
  <c r="BX16" i="9"/>
  <c r="E46" i="3"/>
  <c r="AD18" i="1"/>
  <c r="AG18" i="1" s="1"/>
  <c r="AJ18" i="1" s="1"/>
  <c r="DF21" i="1"/>
  <c r="I21" i="1"/>
  <c r="BK21" i="1" s="1"/>
  <c r="AA21" i="1" s="1"/>
  <c r="L20" i="1"/>
  <c r="DE21" i="1"/>
  <c r="H21" i="1"/>
  <c r="BC21" i="1" s="1"/>
  <c r="Z21" i="1" s="1"/>
  <c r="G16" i="5"/>
  <c r="D17" i="5"/>
  <c r="K20" i="1"/>
  <c r="E47" i="2"/>
  <c r="AC19" i="1"/>
  <c r="AF19" i="1"/>
  <c r="AI19" i="1" s="1"/>
  <c r="CV19" i="1"/>
  <c r="CP19" i="1" s="1"/>
  <c r="C49" i="3"/>
  <c r="L21" i="1" l="1"/>
  <c r="K21" i="1"/>
  <c r="D18" i="5"/>
  <c r="E47" i="3"/>
  <c r="AD19" i="1"/>
  <c r="AG19" i="1" s="1"/>
  <c r="AJ19" i="1" s="1"/>
  <c r="G17" i="5"/>
  <c r="E48" i="2"/>
  <c r="AF20" i="1"/>
  <c r="AI20" i="1" s="1"/>
  <c r="AC20" i="1"/>
  <c r="CV20" i="1"/>
  <c r="CP20" i="1" s="1"/>
  <c r="D19" i="5" l="1"/>
  <c r="E49" i="2"/>
  <c r="AC21" i="1"/>
  <c r="AF21" i="1"/>
  <c r="AI21" i="1" s="1"/>
  <c r="E48" i="3"/>
  <c r="AD20" i="1"/>
  <c r="AG20" i="1" s="1"/>
  <c r="AJ20" i="1" s="1"/>
  <c r="CV21" i="1"/>
  <c r="CP21" i="1" s="1"/>
  <c r="G18" i="5"/>
  <c r="BU20" i="1" l="1"/>
  <c r="BU62" i="1"/>
  <c r="BU17" i="1"/>
  <c r="BU15" i="1"/>
  <c r="BU19" i="1"/>
  <c r="BU16" i="1"/>
  <c r="G19" i="5"/>
  <c r="D20" i="5"/>
  <c r="BU21" i="1"/>
  <c r="S48" i="7"/>
  <c r="W48" i="7"/>
  <c r="BU9" i="1"/>
  <c r="G48" i="7"/>
  <c r="M48" i="7"/>
  <c r="J48" i="7"/>
  <c r="H48" i="7"/>
  <c r="F48" i="7"/>
  <c r="D48" i="7"/>
  <c r="U48" i="7"/>
  <c r="BU7" i="1"/>
  <c r="BU8" i="1"/>
  <c r="T48" i="7"/>
  <c r="Q48" i="7"/>
  <c r="P48" i="7"/>
  <c r="R48" i="7"/>
  <c r="O48" i="7"/>
  <c r="BU6" i="1"/>
  <c r="BU3" i="1"/>
  <c r="N48" i="7"/>
  <c r="I48" i="7"/>
  <c r="E48" i="7"/>
  <c r="BU5" i="1"/>
  <c r="L48" i="7"/>
  <c r="K48" i="7"/>
  <c r="V48" i="7"/>
  <c r="BU10" i="1"/>
  <c r="BU11" i="1"/>
  <c r="BU4" i="1"/>
  <c r="BU12" i="1"/>
  <c r="BU13" i="1"/>
  <c r="BU14" i="1"/>
  <c r="BU18" i="1"/>
  <c r="E49" i="3"/>
  <c r="AD21" i="1"/>
  <c r="AG21" i="1" s="1"/>
  <c r="AJ21" i="1" s="1"/>
  <c r="CB62" i="1" s="1"/>
  <c r="CB8" i="1" l="1"/>
  <c r="N49" i="7"/>
  <c r="I14" i="5"/>
  <c r="I19" i="5"/>
  <c r="D49" i="7"/>
  <c r="D52" i="7" s="1"/>
  <c r="M49" i="7"/>
  <c r="M52" i="7" s="1"/>
  <c r="R49" i="7"/>
  <c r="R52" i="7" s="1"/>
  <c r="CB19" i="1"/>
  <c r="U49" i="7"/>
  <c r="U52" i="7" s="1"/>
  <c r="L49" i="7"/>
  <c r="L52" i="7" s="1"/>
  <c r="CB16" i="1"/>
  <c r="S53" i="7"/>
  <c r="S51" i="7"/>
  <c r="N52" i="7"/>
  <c r="L51" i="7"/>
  <c r="L53" i="7"/>
  <c r="R51" i="7"/>
  <c r="R53" i="7"/>
  <c r="F53" i="7"/>
  <c r="F51" i="7"/>
  <c r="CB6" i="1"/>
  <c r="K53" i="7"/>
  <c r="K51" i="7"/>
  <c r="H51" i="7"/>
  <c r="H53" i="7"/>
  <c r="T51" i="7"/>
  <c r="T53" i="7"/>
  <c r="M51" i="7"/>
  <c r="M53" i="7"/>
  <c r="I13" i="5"/>
  <c r="CB4" i="1"/>
  <c r="O51" i="7"/>
  <c r="O53" i="7"/>
  <c r="P51" i="7"/>
  <c r="P53" i="7"/>
  <c r="Q51" i="7"/>
  <c r="Q53" i="7"/>
  <c r="N51" i="7"/>
  <c r="N53" i="7"/>
  <c r="G53" i="7"/>
  <c r="G51" i="7"/>
  <c r="I17" i="5"/>
  <c r="E53" i="7"/>
  <c r="E51" i="7"/>
  <c r="J51" i="7"/>
  <c r="J53" i="7"/>
  <c r="CB10" i="1"/>
  <c r="CB17" i="1"/>
  <c r="B11" i="2"/>
  <c r="B18" i="2"/>
  <c r="B8" i="2"/>
  <c r="B5" i="2"/>
  <c r="B19" i="2"/>
  <c r="B4" i="2"/>
  <c r="B9" i="2"/>
  <c r="B15" i="2"/>
  <c r="B13" i="2"/>
  <c r="B12" i="2"/>
  <c r="B10" i="2"/>
  <c r="B20" i="2"/>
  <c r="B3" i="2"/>
  <c r="B6" i="2"/>
  <c r="B16" i="2"/>
  <c r="B14" i="2"/>
  <c r="B17" i="2"/>
  <c r="B21" i="2"/>
  <c r="B7" i="2"/>
  <c r="D51" i="7"/>
  <c r="D53" i="7"/>
  <c r="G20" i="5"/>
  <c r="J15" i="5" s="1"/>
  <c r="I20" i="5"/>
  <c r="E24" i="5"/>
  <c r="I10" i="5"/>
  <c r="I2" i="5"/>
  <c r="I6" i="5"/>
  <c r="I7" i="5"/>
  <c r="I3" i="5"/>
  <c r="I5" i="5"/>
  <c r="I4" i="5"/>
  <c r="I9" i="5"/>
  <c r="I8" i="5"/>
  <c r="I11" i="5"/>
  <c r="I15" i="5"/>
  <c r="I18" i="5"/>
  <c r="I16" i="5"/>
  <c r="I51" i="7"/>
  <c r="I53" i="7"/>
  <c r="CB21" i="1"/>
  <c r="CB12" i="1"/>
  <c r="CB5" i="1"/>
  <c r="E49" i="7"/>
  <c r="V49" i="7"/>
  <c r="H49" i="7"/>
  <c r="CB7" i="1"/>
  <c r="W49" i="7"/>
  <c r="T49" i="7"/>
  <c r="CB3" i="1"/>
  <c r="O49" i="7"/>
  <c r="CB11" i="1"/>
  <c r="Q49" i="7"/>
  <c r="P49" i="7"/>
  <c r="G49" i="7"/>
  <c r="K49" i="7"/>
  <c r="S49" i="7"/>
  <c r="F49" i="7"/>
  <c r="I49" i="7"/>
  <c r="J49" i="7"/>
  <c r="CB13" i="1"/>
  <c r="CB14" i="1"/>
  <c r="CB9" i="1"/>
  <c r="CB20" i="1"/>
  <c r="V51" i="7"/>
  <c r="V53" i="7"/>
  <c r="U53" i="7"/>
  <c r="U51" i="7"/>
  <c r="W51" i="7"/>
  <c r="W53" i="7"/>
  <c r="I12" i="5"/>
  <c r="CB15" i="1"/>
  <c r="CB18" i="1"/>
  <c r="J14" i="5" l="1"/>
  <c r="J16" i="5"/>
  <c r="U56" i="7"/>
  <c r="N54" i="7"/>
  <c r="J18" i="5"/>
  <c r="L34" i="7"/>
  <c r="L36" i="7"/>
  <c r="L35" i="7"/>
  <c r="L37" i="7"/>
  <c r="H19" i="2"/>
  <c r="C19" i="2"/>
  <c r="E19" i="2" s="1"/>
  <c r="D19" i="2"/>
  <c r="K34" i="7"/>
  <c r="K36" i="7"/>
  <c r="K35" i="7"/>
  <c r="K37" i="7"/>
  <c r="F52" i="7"/>
  <c r="F54" i="7"/>
  <c r="J34" i="7"/>
  <c r="J37" i="7"/>
  <c r="J36" i="7"/>
  <c r="J35" i="7"/>
  <c r="P56" i="7"/>
  <c r="T37" i="7"/>
  <c r="T34" i="7"/>
  <c r="T36" i="7"/>
  <c r="T35" i="7"/>
  <c r="E52" i="7"/>
  <c r="E54" i="7"/>
  <c r="H6" i="2"/>
  <c r="C6" i="2"/>
  <c r="E6" i="2" s="1"/>
  <c r="D6" i="2"/>
  <c r="Q56" i="7"/>
  <c r="I52" i="7"/>
  <c r="I54" i="7"/>
  <c r="P35" i="7"/>
  <c r="P34" i="7"/>
  <c r="P37" i="7"/>
  <c r="P36" i="7"/>
  <c r="M56" i="7"/>
  <c r="L56" i="7"/>
  <c r="V34" i="7"/>
  <c r="V36" i="7"/>
  <c r="V35" i="7"/>
  <c r="V37" i="7"/>
  <c r="B13" i="3"/>
  <c r="B15" i="3"/>
  <c r="B17" i="3"/>
  <c r="B11" i="3"/>
  <c r="B6" i="3"/>
  <c r="B10" i="3"/>
  <c r="B14" i="3"/>
  <c r="B18" i="3"/>
  <c r="B4" i="3"/>
  <c r="B12" i="3"/>
  <c r="B9" i="3"/>
  <c r="B8" i="3"/>
  <c r="B3" i="3"/>
  <c r="B5" i="3"/>
  <c r="B7" i="3"/>
  <c r="B16" i="3"/>
  <c r="B19" i="3"/>
  <c r="B20" i="3"/>
  <c r="B21" i="3"/>
  <c r="H20" i="2"/>
  <c r="C20" i="2"/>
  <c r="E20" i="2" s="1"/>
  <c r="D20" i="2"/>
  <c r="H5" i="2"/>
  <c r="C5" i="2"/>
  <c r="E5" i="2" s="1"/>
  <c r="D5" i="2"/>
  <c r="V56" i="7"/>
  <c r="S52" i="7"/>
  <c r="S54" i="7"/>
  <c r="T52" i="7"/>
  <c r="T54" i="7"/>
  <c r="H7" i="2"/>
  <c r="C7" i="2"/>
  <c r="E7" i="2" s="1"/>
  <c r="D7" i="2"/>
  <c r="H10" i="2"/>
  <c r="C10" i="2"/>
  <c r="E10" i="2" s="1"/>
  <c r="D10" i="2"/>
  <c r="H8" i="2"/>
  <c r="C8" i="2"/>
  <c r="E8" i="2" s="1"/>
  <c r="D8" i="2"/>
  <c r="J56" i="7"/>
  <c r="G56" i="7"/>
  <c r="O37" i="7"/>
  <c r="O34" i="7"/>
  <c r="O36" i="7"/>
  <c r="O35" i="7"/>
  <c r="T56" i="7"/>
  <c r="J19" i="5"/>
  <c r="M34" i="7"/>
  <c r="M36" i="7"/>
  <c r="M35" i="7"/>
  <c r="M37" i="7"/>
  <c r="O52" i="7"/>
  <c r="O54" i="7"/>
  <c r="H3" i="2"/>
  <c r="C3" i="2"/>
  <c r="D3" i="2"/>
  <c r="K52" i="7"/>
  <c r="K54" i="7"/>
  <c r="G34" i="7"/>
  <c r="G36" i="7"/>
  <c r="G35" i="7"/>
  <c r="G37" i="7"/>
  <c r="U54" i="7"/>
  <c r="L54" i="7"/>
  <c r="G52" i="7"/>
  <c r="G54" i="7"/>
  <c r="I56" i="7"/>
  <c r="H17" i="2"/>
  <c r="D17" i="2"/>
  <c r="C17" i="2"/>
  <c r="E17" i="2" s="1"/>
  <c r="H13" i="2"/>
  <c r="D13" i="2"/>
  <c r="C13" i="2"/>
  <c r="E13" i="2" s="1"/>
  <c r="H11" i="2"/>
  <c r="D11" i="2"/>
  <c r="C11" i="2"/>
  <c r="E11" i="2" s="1"/>
  <c r="E34" i="7"/>
  <c r="E35" i="7"/>
  <c r="E36" i="7"/>
  <c r="E37" i="7"/>
  <c r="N34" i="7"/>
  <c r="N36" i="7"/>
  <c r="N35" i="7"/>
  <c r="N37" i="7"/>
  <c r="F34" i="7"/>
  <c r="F36" i="7"/>
  <c r="F37" i="7"/>
  <c r="F35" i="7"/>
  <c r="J52" i="7"/>
  <c r="J54" i="7"/>
  <c r="D34" i="7"/>
  <c r="D37" i="7"/>
  <c r="D36" i="7"/>
  <c r="D35" i="7"/>
  <c r="R54" i="7"/>
  <c r="K56" i="7"/>
  <c r="D56" i="7"/>
  <c r="W52" i="7"/>
  <c r="W54" i="7"/>
  <c r="H21" i="2"/>
  <c r="C21" i="2"/>
  <c r="E21" i="2" s="1"/>
  <c r="D21" i="2"/>
  <c r="H18" i="2"/>
  <c r="D18" i="2"/>
  <c r="C18" i="2"/>
  <c r="E18" i="2" s="1"/>
  <c r="F56" i="7"/>
  <c r="P52" i="7"/>
  <c r="P54" i="7"/>
  <c r="H14" i="2"/>
  <c r="D14" i="2"/>
  <c r="C14" i="2"/>
  <c r="E14" i="2" s="1"/>
  <c r="H15" i="2"/>
  <c r="C15" i="2"/>
  <c r="E15" i="2" s="1"/>
  <c r="D15" i="2"/>
  <c r="D54" i="7"/>
  <c r="N56" i="7"/>
  <c r="H34" i="7"/>
  <c r="H37" i="7"/>
  <c r="H36" i="7"/>
  <c r="H35" i="7"/>
  <c r="R37" i="7"/>
  <c r="R34" i="7"/>
  <c r="R36" i="7"/>
  <c r="R35" i="7"/>
  <c r="S56" i="7"/>
  <c r="H4" i="2"/>
  <c r="D4" i="2"/>
  <c r="C4" i="2"/>
  <c r="E4" i="2" s="1"/>
  <c r="U36" i="7"/>
  <c r="U34" i="7"/>
  <c r="U35" i="7"/>
  <c r="U37" i="7"/>
  <c r="I34" i="7"/>
  <c r="I37" i="7"/>
  <c r="I36" i="7"/>
  <c r="I35" i="7"/>
  <c r="H12" i="2"/>
  <c r="C12" i="2"/>
  <c r="E12" i="2" s="1"/>
  <c r="D12" i="2"/>
  <c r="E56" i="7"/>
  <c r="O56" i="7"/>
  <c r="W34" i="7"/>
  <c r="W36" i="7"/>
  <c r="W35" i="7"/>
  <c r="W37" i="7"/>
  <c r="H52" i="7"/>
  <c r="H54" i="7"/>
  <c r="M54" i="7"/>
  <c r="W56" i="7"/>
  <c r="Q52" i="7"/>
  <c r="Q54" i="7"/>
  <c r="V52" i="7"/>
  <c r="V54" i="7"/>
  <c r="J20" i="5"/>
  <c r="J2" i="5"/>
  <c r="J6" i="5"/>
  <c r="J7" i="5"/>
  <c r="J8" i="5"/>
  <c r="J5" i="5"/>
  <c r="J9" i="5"/>
  <c r="J3" i="5"/>
  <c r="J4" i="5"/>
  <c r="J11" i="5"/>
  <c r="J10" i="5"/>
  <c r="J12" i="5"/>
  <c r="J17" i="5"/>
  <c r="J13" i="5"/>
  <c r="H16" i="2"/>
  <c r="D16" i="2"/>
  <c r="C16" i="2"/>
  <c r="E16" i="2" s="1"/>
  <c r="H9" i="2"/>
  <c r="C9" i="2"/>
  <c r="E9" i="2" s="1"/>
  <c r="D9" i="2"/>
  <c r="Q34" i="7"/>
  <c r="Q37" i="7"/>
  <c r="Q36" i="7"/>
  <c r="Q35" i="7"/>
  <c r="H56" i="7"/>
  <c r="R56" i="7"/>
  <c r="S34" i="7"/>
  <c r="S36" i="7"/>
  <c r="S35" i="7"/>
  <c r="S37" i="7"/>
  <c r="D57" i="7" l="1"/>
  <c r="Q57" i="7"/>
  <c r="R57" i="7"/>
  <c r="L57" i="7"/>
  <c r="N57" i="7"/>
  <c r="E3" i="2"/>
  <c r="F3" i="2" s="1"/>
  <c r="C23" i="2"/>
  <c r="E27" i="2" s="1"/>
  <c r="F26" i="2" s="1"/>
  <c r="D16" i="3"/>
  <c r="H16" i="3"/>
  <c r="C16" i="3"/>
  <c r="E16" i="3" s="1"/>
  <c r="C18" i="3"/>
  <c r="E18" i="3" s="1"/>
  <c r="D18" i="3"/>
  <c r="H18" i="3"/>
  <c r="P40" i="7"/>
  <c r="P38" i="7"/>
  <c r="K38" i="7"/>
  <c r="K40" i="7"/>
  <c r="Q40" i="7"/>
  <c r="Q38" i="7"/>
  <c r="V57" i="7"/>
  <c r="J57" i="7"/>
  <c r="G40" i="7"/>
  <c r="G38" i="7"/>
  <c r="H7" i="3"/>
  <c r="C7" i="3"/>
  <c r="E7" i="3" s="1"/>
  <c r="D7" i="3"/>
  <c r="H14" i="3"/>
  <c r="D14" i="3"/>
  <c r="C14" i="3"/>
  <c r="E14" i="3" s="1"/>
  <c r="E57" i="7"/>
  <c r="J40" i="7"/>
  <c r="J38" i="7"/>
  <c r="S40" i="7"/>
  <c r="S38" i="7"/>
  <c r="K57" i="7"/>
  <c r="I40" i="7"/>
  <c r="I38" i="7"/>
  <c r="H40" i="7"/>
  <c r="H38" i="7"/>
  <c r="C8" i="3"/>
  <c r="E8" i="3" s="1"/>
  <c r="H8" i="3"/>
  <c r="D8" i="3"/>
  <c r="C11" i="3"/>
  <c r="E11" i="3" s="1"/>
  <c r="H11" i="3"/>
  <c r="D11" i="3"/>
  <c r="T38" i="7"/>
  <c r="T40" i="7"/>
  <c r="F57" i="7"/>
  <c r="H5" i="3"/>
  <c r="C5" i="3"/>
  <c r="E5" i="3" s="1"/>
  <c r="D5" i="3"/>
  <c r="O57" i="7"/>
  <c r="T57" i="7"/>
  <c r="C3" i="3"/>
  <c r="H3" i="3"/>
  <c r="D3" i="3"/>
  <c r="V40" i="7"/>
  <c r="V38" i="7"/>
  <c r="O38" i="7"/>
  <c r="O40" i="7"/>
  <c r="S57" i="7"/>
  <c r="H21" i="3"/>
  <c r="D21" i="3"/>
  <c r="C21" i="3"/>
  <c r="E21" i="3" s="1"/>
  <c r="D9" i="3"/>
  <c r="C9" i="3"/>
  <c r="E9" i="3" s="1"/>
  <c r="H9" i="3"/>
  <c r="D17" i="3"/>
  <c r="H17" i="3"/>
  <c r="C17" i="3"/>
  <c r="E17" i="3" s="1"/>
  <c r="G57" i="7"/>
  <c r="I57" i="7"/>
  <c r="P57" i="7"/>
  <c r="F40" i="7"/>
  <c r="F38" i="7"/>
  <c r="C20" i="3"/>
  <c r="E20" i="3" s="1"/>
  <c r="D20" i="3"/>
  <c r="H20" i="3"/>
  <c r="C12" i="3"/>
  <c r="E12" i="3" s="1"/>
  <c r="D12" i="3"/>
  <c r="H12" i="3"/>
  <c r="D15" i="3"/>
  <c r="C15" i="3"/>
  <c r="E15" i="3" s="1"/>
  <c r="H15" i="3"/>
  <c r="H10" i="3"/>
  <c r="C10" i="3"/>
  <c r="E10" i="3" s="1"/>
  <c r="D10" i="3"/>
  <c r="W40" i="7"/>
  <c r="W38" i="7"/>
  <c r="N40" i="7"/>
  <c r="N38" i="7"/>
  <c r="C6" i="3"/>
  <c r="E6" i="3" s="1"/>
  <c r="H6" i="3"/>
  <c r="D6" i="3"/>
  <c r="M57" i="7"/>
  <c r="H57" i="7"/>
  <c r="U38" i="7"/>
  <c r="U40" i="7"/>
  <c r="R40" i="7"/>
  <c r="R38" i="7"/>
  <c r="W57" i="7"/>
  <c r="D40" i="7"/>
  <c r="D38" i="7"/>
  <c r="U57" i="7"/>
  <c r="E40" i="7"/>
  <c r="E38" i="7"/>
  <c r="M40" i="7"/>
  <c r="M38" i="7"/>
  <c r="C19" i="3"/>
  <c r="E19" i="3" s="1"/>
  <c r="D19" i="3"/>
  <c r="H19" i="3"/>
  <c r="C4" i="3"/>
  <c r="E4" i="3" s="1"/>
  <c r="H4" i="3"/>
  <c r="D4" i="3"/>
  <c r="D13" i="3"/>
  <c r="H13" i="3"/>
  <c r="C13" i="3"/>
  <c r="E13" i="3" s="1"/>
  <c r="L40" i="7"/>
  <c r="L38" i="7"/>
  <c r="U41" i="7" l="1"/>
  <c r="U42" i="7" s="1"/>
  <c r="U43" i="7" s="1"/>
  <c r="I41" i="7"/>
  <c r="I42" i="7" s="1"/>
  <c r="Q41" i="7"/>
  <c r="Q42" i="7" s="1"/>
  <c r="N41" i="7"/>
  <c r="N42" i="7" s="1"/>
  <c r="N46" i="7"/>
  <c r="F41" i="7"/>
  <c r="F42" i="7" s="1"/>
  <c r="E41" i="7"/>
  <c r="E42" i="7" s="1"/>
  <c r="W41" i="7"/>
  <c r="W42" i="7" s="1"/>
  <c r="L41" i="7"/>
  <c r="L42" i="7" s="1"/>
  <c r="Y40" i="7"/>
  <c r="D41" i="7"/>
  <c r="S41" i="7"/>
  <c r="S42" i="7" s="1"/>
  <c r="K41" i="7"/>
  <c r="K42" i="7" s="1"/>
  <c r="O41" i="7"/>
  <c r="O42" i="7" s="1"/>
  <c r="O43" i="7" s="1"/>
  <c r="T41" i="7"/>
  <c r="T42" i="7" s="1"/>
  <c r="J41" i="7"/>
  <c r="J42" i="7" s="1"/>
  <c r="J43" i="7" s="1"/>
  <c r="J44" i="7" s="1"/>
  <c r="V41" i="7"/>
  <c r="V42" i="7" s="1"/>
  <c r="M41" i="7"/>
  <c r="M42" i="7" s="1"/>
  <c r="R41" i="7"/>
  <c r="R42" i="7" s="1"/>
  <c r="R43" i="7" s="1"/>
  <c r="R44" i="7" s="1"/>
  <c r="E3" i="3"/>
  <c r="F3" i="3" s="1"/>
  <c r="C23" i="3"/>
  <c r="H41" i="7"/>
  <c r="H42" i="7" s="1"/>
  <c r="G41" i="7"/>
  <c r="G42" i="7" s="1"/>
  <c r="P41" i="7"/>
  <c r="P42" i="7" s="1"/>
  <c r="P43" i="7" s="1"/>
  <c r="F4" i="2"/>
  <c r="G3" i="2"/>
  <c r="I3" i="2" s="1"/>
  <c r="J3" i="2" s="1"/>
  <c r="G46" i="7" l="1"/>
  <c r="P46" i="7"/>
  <c r="T46" i="7"/>
  <c r="W43" i="7"/>
  <c r="W44" i="7" s="1"/>
  <c r="F43" i="7"/>
  <c r="F44" i="7" s="1"/>
  <c r="T43" i="7"/>
  <c r="T44" i="7" s="1"/>
  <c r="Q43" i="7"/>
  <c r="Q44" i="7" s="1"/>
  <c r="H43" i="7"/>
  <c r="H44" i="7" s="1"/>
  <c r="H46" i="7"/>
  <c r="J46" i="7"/>
  <c r="U44" i="7"/>
  <c r="U46" i="7"/>
  <c r="K43" i="7"/>
  <c r="K44" i="7" s="1"/>
  <c r="G43" i="7"/>
  <c r="G44" i="7" s="1"/>
  <c r="S43" i="7"/>
  <c r="S44" i="7" s="1"/>
  <c r="I46" i="7"/>
  <c r="L43" i="7"/>
  <c r="L44" i="7" s="1"/>
  <c r="M43" i="7"/>
  <c r="M44" i="7" s="1"/>
  <c r="O44" i="7"/>
  <c r="R46" i="7"/>
  <c r="P44" i="7"/>
  <c r="N43" i="7"/>
  <c r="N44" i="7" s="1"/>
  <c r="O46" i="7"/>
  <c r="W46" i="7"/>
  <c r="G4" i="2"/>
  <c r="I4" i="2" s="1"/>
  <c r="J4" i="2" s="1"/>
  <c r="F5" i="2"/>
  <c r="I43" i="7"/>
  <c r="I44" i="7" s="1"/>
  <c r="D42" i="7"/>
  <c r="Y41" i="7"/>
  <c r="E46" i="7"/>
  <c r="E27" i="3"/>
  <c r="F26" i="3" s="1"/>
  <c r="F4" i="3"/>
  <c r="G3" i="3"/>
  <c r="I3" i="3" s="1"/>
  <c r="V43" i="7"/>
  <c r="V44" i="7" s="1"/>
  <c r="V46" i="7"/>
  <c r="E43" i="7"/>
  <c r="E44" i="7" s="1"/>
  <c r="Q46" i="7" l="1"/>
  <c r="F46" i="7"/>
  <c r="S46" i="7"/>
  <c r="M46" i="7"/>
  <c r="K46" i="7"/>
  <c r="L46" i="7"/>
  <c r="D43" i="7"/>
  <c r="Y43" i="7" s="1"/>
  <c r="Y42" i="7"/>
  <c r="D46" i="7"/>
  <c r="J3" i="3"/>
  <c r="F5" i="3"/>
  <c r="G4" i="3"/>
  <c r="I4" i="3" s="1"/>
  <c r="D42" i="3" s="1"/>
  <c r="F6" i="2"/>
  <c r="G5" i="2"/>
  <c r="I5" i="2" s="1"/>
  <c r="D44" i="7" l="1"/>
  <c r="Y44" i="7" s="1"/>
  <c r="F7" i="2"/>
  <c r="G6" i="2"/>
  <c r="I6" i="2" s="1"/>
  <c r="F6" i="3"/>
  <c r="G5" i="3"/>
  <c r="I5" i="3" s="1"/>
  <c r="J5" i="2"/>
  <c r="J4" i="3"/>
  <c r="F7" i="3" l="1"/>
  <c r="G6" i="3"/>
  <c r="I6" i="3" s="1"/>
  <c r="J5" i="3"/>
  <c r="D44" i="3"/>
  <c r="J6" i="2"/>
  <c r="G7" i="2"/>
  <c r="I7" i="2" s="1"/>
  <c r="F8" i="2"/>
  <c r="J6" i="3" l="1"/>
  <c r="F9" i="2"/>
  <c r="G8" i="2"/>
  <c r="I8" i="2" s="1"/>
  <c r="D40" i="2" s="1"/>
  <c r="F8" i="3"/>
  <c r="G7" i="3"/>
  <c r="I7" i="3" s="1"/>
  <c r="D42" i="2"/>
  <c r="J7" i="2"/>
  <c r="J8" i="2" l="1"/>
  <c r="J7" i="3"/>
  <c r="F9" i="3"/>
  <c r="G8" i="3"/>
  <c r="I8" i="3" s="1"/>
  <c r="F10" i="2"/>
  <c r="G9" i="2"/>
  <c r="I9" i="2" s="1"/>
  <c r="D43" i="3" l="1"/>
  <c r="F10" i="3"/>
  <c r="G9" i="3"/>
  <c r="I9" i="3" s="1"/>
  <c r="D40" i="3" s="1"/>
  <c r="J9" i="2"/>
  <c r="F11" i="2"/>
  <c r="G10" i="2"/>
  <c r="I10" i="2" s="1"/>
  <c r="J8" i="3"/>
  <c r="D32" i="2" l="1"/>
  <c r="F12" i="2"/>
  <c r="G11" i="2"/>
  <c r="I11" i="2" s="1"/>
  <c r="J9" i="3"/>
  <c r="D39" i="2"/>
  <c r="J10" i="2"/>
  <c r="F11" i="3"/>
  <c r="G10" i="3"/>
  <c r="I10" i="3" s="1"/>
  <c r="D46" i="3" s="1"/>
  <c r="J10" i="3" l="1"/>
  <c r="J11" i="2"/>
  <c r="F12" i="3"/>
  <c r="G11" i="3"/>
  <c r="I11" i="3" s="1"/>
  <c r="D35" i="3" s="1"/>
  <c r="F13" i="2"/>
  <c r="G12" i="2"/>
  <c r="I12" i="2" s="1"/>
  <c r="D36" i="2" s="1"/>
  <c r="D46" i="2" l="1"/>
  <c r="J11" i="3"/>
  <c r="F13" i="3"/>
  <c r="G12" i="3"/>
  <c r="I12" i="3" s="1"/>
  <c r="J12" i="2"/>
  <c r="D31" i="2"/>
  <c r="F14" i="2"/>
  <c r="G13" i="2"/>
  <c r="I13" i="2" s="1"/>
  <c r="J12" i="3" l="1"/>
  <c r="F14" i="3"/>
  <c r="G13" i="3"/>
  <c r="I13" i="3" s="1"/>
  <c r="D39" i="3" s="1"/>
  <c r="F15" i="2"/>
  <c r="G14" i="2"/>
  <c r="I14" i="2" s="1"/>
  <c r="D41" i="2" s="1"/>
  <c r="J13" i="2"/>
  <c r="D49" i="2" l="1"/>
  <c r="J13" i="3"/>
  <c r="D38" i="3"/>
  <c r="F15" i="3"/>
  <c r="G14" i="3"/>
  <c r="I14" i="3" s="1"/>
  <c r="D44" i="2"/>
  <c r="J14" i="2"/>
  <c r="D35" i="2"/>
  <c r="G15" i="2"/>
  <c r="I15" i="2" s="1"/>
  <c r="F16" i="2"/>
  <c r="D31" i="3" l="1"/>
  <c r="D43" i="2"/>
  <c r="J15" i="2"/>
  <c r="D38" i="2"/>
  <c r="J14" i="3"/>
  <c r="D47" i="3"/>
  <c r="F16" i="3"/>
  <c r="G15" i="3"/>
  <c r="I15" i="3" s="1"/>
  <c r="G16" i="2"/>
  <c r="I16" i="2" s="1"/>
  <c r="F17" i="2"/>
  <c r="J15" i="3" l="1"/>
  <c r="D34" i="3"/>
  <c r="J16" i="2"/>
  <c r="D47" i="2"/>
  <c r="F17" i="3"/>
  <c r="G16" i="3"/>
  <c r="I16" i="3" s="1"/>
  <c r="D36" i="3" s="1"/>
  <c r="F18" i="2"/>
  <c r="G17" i="2"/>
  <c r="I17" i="2" s="1"/>
  <c r="D32" i="3" l="1"/>
  <c r="J17" i="2"/>
  <c r="J16" i="3"/>
  <c r="D45" i="3"/>
  <c r="F18" i="3"/>
  <c r="G17" i="3"/>
  <c r="I17" i="3" s="1"/>
  <c r="F19" i="2"/>
  <c r="G18" i="2"/>
  <c r="I18" i="2" s="1"/>
  <c r="D45" i="2" s="1"/>
  <c r="D34" i="2" l="1"/>
  <c r="J18" i="2"/>
  <c r="F20" i="2"/>
  <c r="G19" i="2"/>
  <c r="I19" i="2" s="1"/>
  <c r="J17" i="3"/>
  <c r="F19" i="3"/>
  <c r="G18" i="3"/>
  <c r="I18" i="3" s="1"/>
  <c r="J18" i="3" l="1"/>
  <c r="F20" i="3"/>
  <c r="G19" i="3"/>
  <c r="I19" i="3" s="1"/>
  <c r="D41" i="3" s="1"/>
  <c r="F21" i="2"/>
  <c r="G21" i="2" s="1"/>
  <c r="I21" i="2" s="1"/>
  <c r="G20" i="2"/>
  <c r="I20" i="2" s="1"/>
  <c r="J19" i="2"/>
  <c r="D48" i="2"/>
  <c r="J20" i="2" l="1"/>
  <c r="D33" i="2"/>
  <c r="J19" i="3"/>
  <c r="D48" i="3"/>
  <c r="D37" i="2"/>
  <c r="J21" i="2"/>
  <c r="I23" i="2"/>
  <c r="F21" i="3"/>
  <c r="G21" i="3" s="1"/>
  <c r="I21" i="3" s="1"/>
  <c r="G20" i="3"/>
  <c r="I20" i="3" s="1"/>
  <c r="D49" i="3" s="1"/>
  <c r="J23" i="2" l="1"/>
  <c r="J21" i="3"/>
  <c r="D37" i="3"/>
  <c r="I23" i="3"/>
  <c r="E51" i="2"/>
  <c r="J20" i="3"/>
  <c r="D33" i="3"/>
  <c r="E51" i="3" l="1"/>
  <c r="J2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tc={7A6D356D-6113-4E9A-AC9D-73056028F99E}</author>
    <author>tc={8CFFEF0C-B295-4FA8-96C7-631829411BA0}</author>
  </authors>
  <commentList>
    <comment ref="CU2" authorId="0" shapeId="0" xr:uid="{7A6D356D-6113-4E9A-AC9D-73056028F99E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rent gr in Year 4</t>
      </text>
    </comment>
    <comment ref="CV2" authorId="1" shapeId="0" xr:uid="{8CFFEF0C-B295-4FA8-96C7-631829411BA0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fwd rent gr expected to be the one in Yr 6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tc={224F5908-07D2-4AC3-A9F5-3D412E5DFB91}</author>
    <author>tc={0D3F8405-733A-402D-B0DA-8A1EA42F8C11}</author>
    <author>tc={171B87AA-165F-4F66-9DCE-415AE9190859}</author>
  </authors>
  <commentList>
    <comment ref="C58" authorId="0" shapeId="0" xr:uid="{224F5908-07D2-4AC3-A9F5-3D412E5DFB91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Discreet4 (1,2,3,4) 4 = top quality; 3 = Above acceptable; 2 = has issues and might require caution 1 = not acceptable</t>
      </text>
    </comment>
    <comment ref="C61" authorId="1" shapeId="0" xr:uid="{0D3F8405-733A-402D-B0DA-8A1EA42F8C1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1 = no prior experience, 2 = know the people but not the GP, 3 = Exp with another team in the same platform, 4 = Exp with the same team in the same platform
</t>
      </text>
    </comment>
    <comment ref="C62" authorId="2" shapeId="0" xr:uid="{171B87AA-165F-4F66-9DCE-415AE9190859}">
      <text>
        <t>[Threaded comment]
Your version of Excel allows you to read this threaded comment; however, any edits to it will get removed if the file is opened in a newer version of Excel. Learn more: https://go.microsoft.com/fwlink/?linkid=870924
Comment:
    Discreet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tc={5CBD30C9-B73A-4866-AB7D-05DFA58E714D}</author>
    <author>tc={6919C7F4-6228-4B0E-BE8E-34B5F325D371}</author>
  </authors>
  <commentList>
    <comment ref="CY2" authorId="0" shapeId="0" xr:uid="{5CBD30C9-B73A-4866-AB7D-05DFA58E714D}">
      <text>
        <t>[Threaded comment]
Your version of Excel allows you to read this threaded comment; however, any edits to it will get removed if the file is opened in a newer version of Excel. Learn more: https://go.microsoft.com/fwlink/?linkid=870924
Comment:
    Assumed to be rent gr in Year 4</t>
      </text>
    </comment>
    <comment ref="CZ2" authorId="1" shapeId="0" xr:uid="{6919C7F4-6228-4B0E-BE8E-34B5F325D371}">
      <text>
        <t>[Threaded comment]
Your version of Excel allows you to read this threaded comment; however, any edits to it will get removed if the file is opened in a newer version of Excel. Learn more: https://go.microsoft.com/fwlink/?linkid=870924
Comment:
    Going fwd rent gr expected to be the one in Yr 6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<sst xmlns="http://schemas.openxmlformats.org/spreadsheetml/2006/main" count="659" uniqueCount="179">
  <si>
    <t>Exit Cap</t>
  </si>
  <si>
    <t>Rent Growth</t>
  </si>
  <si>
    <t>Unlevered Prop Level</t>
  </si>
  <si>
    <t>Levered Prop Level</t>
  </si>
  <si>
    <t>Gross Fund Level Ret</t>
  </si>
  <si>
    <t>Net Fund Level Ret</t>
  </si>
  <si>
    <t>Exit Cap vs. 10 YR</t>
  </si>
  <si>
    <t>3 YR Portfolio</t>
  </si>
  <si>
    <t>6 YR Portfolio</t>
  </si>
  <si>
    <t>Exit cap rate caln</t>
  </si>
  <si>
    <t>SectorIdentifier</t>
  </si>
  <si>
    <t>Region</t>
  </si>
  <si>
    <t>Profile</t>
  </si>
  <si>
    <t>Nom Cap Rate</t>
  </si>
  <si>
    <t>Capex</t>
  </si>
  <si>
    <t>Econ Cap Rate</t>
  </si>
  <si>
    <t>YR 3 Eco Exit Cap</t>
  </si>
  <si>
    <t>YR 6 Eco Exit Cap</t>
  </si>
  <si>
    <t>YR 3   Exit Cap</t>
  </si>
  <si>
    <t>YR 6    Exit Cap</t>
  </si>
  <si>
    <t>Yr 1</t>
  </si>
  <si>
    <r>
      <t>Yr 2</t>
    </r>
    <r>
      <rPr>
        <sz val="11"/>
        <color theme="1"/>
        <rFont val="Aptos Narrow"/>
        <family val="2"/>
        <scheme val="minor"/>
      </rPr>
      <t/>
    </r>
  </si>
  <si>
    <r>
      <t>Yr 3</t>
    </r>
    <r>
      <rPr>
        <sz val="11"/>
        <color theme="1"/>
        <rFont val="Aptos Narrow"/>
        <family val="2"/>
        <scheme val="minor"/>
      </rPr>
      <t/>
    </r>
  </si>
  <si>
    <t>Yr 4</t>
  </si>
  <si>
    <t>Yr 5</t>
  </si>
  <si>
    <t>Yr 6</t>
  </si>
  <si>
    <t>3 YR CAGR</t>
  </si>
  <si>
    <t>6 YR CAGR</t>
  </si>
  <si>
    <t>3  YR          IRR</t>
  </si>
  <si>
    <t>6  YR          IRR</t>
  </si>
  <si>
    <t>3  YR          Lev IRR</t>
  </si>
  <si>
    <t>6  YR          Lev IRR</t>
  </si>
  <si>
    <t>YR 6   Exit Cap</t>
  </si>
  <si>
    <t>Std Dev</t>
  </si>
  <si>
    <t>LTV</t>
  </si>
  <si>
    <t>Rate</t>
  </si>
  <si>
    <t>Rate - Base Case</t>
  </si>
  <si>
    <t xml:space="preserve">Rate - High </t>
  </si>
  <si>
    <t>Rate - Low</t>
  </si>
  <si>
    <t>Non-Core</t>
  </si>
  <si>
    <t>Fee Drag</t>
  </si>
  <si>
    <t>3 YR Rank</t>
  </si>
  <si>
    <t>SI</t>
  </si>
  <si>
    <t>Min</t>
  </si>
  <si>
    <t>Max</t>
  </si>
  <si>
    <t>Port</t>
  </si>
  <si>
    <t>Test</t>
  </si>
  <si>
    <t>6 YR Rank</t>
  </si>
  <si>
    <t>Prop unlev ret over 10 Yr Spread</t>
  </si>
  <si>
    <t>Prop unlev ret over 10 Yr Spread - Base</t>
  </si>
  <si>
    <t>Prop unlev ret over 10 Yr Spread - High</t>
  </si>
  <si>
    <t>Prop unlev ret over 10 Yr Spread - Low</t>
  </si>
  <si>
    <t>Target unlev prop return 3 YR</t>
  </si>
  <si>
    <t>Target unlev prop return 6 YR</t>
  </si>
  <si>
    <t>Over/ undervalued</t>
  </si>
  <si>
    <t>Rent Gr expect 3 YR</t>
  </si>
  <si>
    <t>Rent Gr expect 6 YR</t>
  </si>
  <si>
    <t>Eco Cap Rate 3 YR</t>
  </si>
  <si>
    <t>Eco Cap Rate 6 YR</t>
  </si>
  <si>
    <t>Nom Cap Rate 3 YR</t>
  </si>
  <si>
    <t>Nom Cap Rate 6 YR</t>
  </si>
  <si>
    <r>
      <rPr>
        <sz val="11.5"/>
        <rFont val="Times New Roman"/>
        <family val="1"/>
      </rPr>
      <t>US</t>
    </r>
  </si>
  <si>
    <r>
      <rPr>
        <sz val="11.5"/>
        <rFont val="Times New Roman"/>
        <family val="1"/>
      </rPr>
      <t>Core - Res</t>
    </r>
  </si>
  <si>
    <r>
      <rPr>
        <sz val="11.5"/>
        <rFont val="Times New Roman"/>
        <family val="1"/>
      </rPr>
      <t>Core - Ind</t>
    </r>
  </si>
  <si>
    <r>
      <rPr>
        <sz val="11.5"/>
        <rFont val="Times New Roman"/>
        <family val="1"/>
      </rPr>
      <t>Core - Off</t>
    </r>
  </si>
  <si>
    <r>
      <rPr>
        <sz val="11.5"/>
        <rFont val="Times New Roman"/>
        <family val="1"/>
      </rPr>
      <t>Core - Retail</t>
    </r>
  </si>
  <si>
    <r>
      <rPr>
        <sz val="11.5"/>
        <rFont val="Times New Roman"/>
        <family val="1"/>
      </rPr>
      <t>Core-Plus - Res</t>
    </r>
  </si>
  <si>
    <r>
      <rPr>
        <sz val="11.5"/>
        <rFont val="Times New Roman"/>
        <family val="1"/>
      </rPr>
      <t>Core-Plus - Ind</t>
    </r>
  </si>
  <si>
    <r>
      <rPr>
        <sz val="11.5"/>
        <rFont val="Times New Roman"/>
        <family val="1"/>
      </rPr>
      <t>Core-Plus - Off</t>
    </r>
  </si>
  <si>
    <r>
      <rPr>
        <sz val="11.5"/>
        <rFont val="Times New Roman"/>
        <family val="1"/>
      </rPr>
      <t>Core-Plus - Ret</t>
    </r>
  </si>
  <si>
    <r>
      <rPr>
        <sz val="11.5"/>
        <rFont val="Times New Roman"/>
        <family val="1"/>
      </rPr>
      <t>Data Center</t>
    </r>
  </si>
  <si>
    <r>
      <rPr>
        <sz val="11.5"/>
        <rFont val="Times New Roman"/>
        <family val="1"/>
      </rPr>
      <t>Single-Family Rental</t>
    </r>
  </si>
  <si>
    <r>
      <rPr>
        <sz val="11.5"/>
        <rFont val="Times New Roman"/>
        <family val="1"/>
      </rPr>
      <t>Cold Storage</t>
    </r>
  </si>
  <si>
    <r>
      <rPr>
        <sz val="11.5"/>
        <rFont val="Times New Roman"/>
        <family val="1"/>
      </rPr>
      <t>Senior Housing</t>
    </r>
  </si>
  <si>
    <r>
      <rPr>
        <sz val="11.5"/>
        <rFont val="Times New Roman"/>
        <family val="1"/>
      </rPr>
      <t>Student Housing</t>
    </r>
  </si>
  <si>
    <r>
      <rPr>
        <sz val="11.5"/>
        <rFont val="Times New Roman"/>
        <family val="1"/>
      </rPr>
      <t>Affordable Housing</t>
    </r>
  </si>
  <si>
    <r>
      <rPr>
        <sz val="11.5"/>
        <rFont val="Times New Roman"/>
        <family val="1"/>
      </rPr>
      <t>Manufactured Home Park</t>
    </r>
  </si>
  <si>
    <r>
      <rPr>
        <sz val="11.5"/>
        <rFont val="Times New Roman"/>
        <family val="1"/>
      </rPr>
      <t>Medical Office</t>
    </r>
  </si>
  <si>
    <r>
      <rPr>
        <sz val="11.5"/>
        <rFont val="Times New Roman"/>
        <family val="1"/>
      </rPr>
      <t>Life Science</t>
    </r>
  </si>
  <si>
    <r>
      <rPr>
        <sz val="11.5"/>
        <rFont val="Times New Roman"/>
        <family val="1"/>
      </rPr>
      <t>Self-Storage</t>
    </r>
  </si>
  <si>
    <r>
      <rPr>
        <sz val="11.5"/>
        <rFont val="Times New Roman"/>
        <family val="1"/>
      </rPr>
      <t>IOS</t>
    </r>
  </si>
  <si>
    <t>US</t>
  </si>
  <si>
    <t>Inflation</t>
  </si>
  <si>
    <t>Rent Growth under base macro case</t>
  </si>
  <si>
    <t>Cap rate relative to 10 yr</t>
  </si>
  <si>
    <t>Scenario</t>
  </si>
  <si>
    <t>Base</t>
  </si>
  <si>
    <t>Scenarios</t>
  </si>
  <si>
    <t>High</t>
  </si>
  <si>
    <t>Low</t>
  </si>
  <si>
    <t>Model Inputs</t>
  </si>
  <si>
    <t>GDP Growth</t>
  </si>
  <si>
    <t>10 Year</t>
  </si>
  <si>
    <t>Base case</t>
  </si>
  <si>
    <t>GDP</t>
  </si>
  <si>
    <t>Inflation baseline</t>
  </si>
  <si>
    <t>10 Year baseline</t>
  </si>
  <si>
    <t>Cap rate adj to Treasury</t>
  </si>
  <si>
    <t>High Interest Rate</t>
  </si>
  <si>
    <t>Low Interest Rate</t>
  </si>
  <si>
    <t>Fund1</t>
  </si>
  <si>
    <t>Fund2</t>
  </si>
  <si>
    <t>Fund3</t>
  </si>
  <si>
    <t>Fund4</t>
  </si>
  <si>
    <t>Fund5</t>
  </si>
  <si>
    <t>Fund6</t>
  </si>
  <si>
    <t>Fund7</t>
  </si>
  <si>
    <t>Fund8</t>
  </si>
  <si>
    <t>Fund9</t>
  </si>
  <si>
    <t>Fund10</t>
  </si>
  <si>
    <t>Fund11</t>
  </si>
  <si>
    <t>Fund12</t>
  </si>
  <si>
    <t>Fund13</t>
  </si>
  <si>
    <t>Fund14</t>
  </si>
  <si>
    <t>Fund15</t>
  </si>
  <si>
    <t>Fund16</t>
  </si>
  <si>
    <t>Fund17</t>
  </si>
  <si>
    <t>Fund18</t>
  </si>
  <si>
    <t>Fund19</t>
  </si>
  <si>
    <t>Fund20</t>
  </si>
  <si>
    <t>Worksheet</t>
  </si>
  <si>
    <t>Rating1</t>
  </si>
  <si>
    <t>Rating2</t>
  </si>
  <si>
    <t>Rating3</t>
  </si>
  <si>
    <t>Rating4</t>
  </si>
  <si>
    <t>Rating5</t>
  </si>
  <si>
    <t>Final</t>
  </si>
  <si>
    <t>Rating</t>
  </si>
  <si>
    <t>Return</t>
  </si>
  <si>
    <t>Exp Ret 3 YR</t>
  </si>
  <si>
    <t>N</t>
  </si>
  <si>
    <t>Exp Ret 6 YR</t>
  </si>
  <si>
    <t>Sharp Ratio 3 YR</t>
  </si>
  <si>
    <t>Sharp Ratio 5 YR</t>
  </si>
  <si>
    <t>Exp Ret 3 YR Quart</t>
  </si>
  <si>
    <t>Q</t>
  </si>
  <si>
    <t>Exp Ret 6 YR Quart</t>
  </si>
  <si>
    <t>Volatility</t>
  </si>
  <si>
    <t>Std Dev Quart</t>
  </si>
  <si>
    <t>Sharp Ratio 3 YR Quart</t>
  </si>
  <si>
    <t>Sharp Ratio 5 YR Quart</t>
  </si>
  <si>
    <t>Platform quality</t>
  </si>
  <si>
    <t>D4</t>
  </si>
  <si>
    <t>Fee Structure</t>
  </si>
  <si>
    <t>Governance Str</t>
  </si>
  <si>
    <t>Prior Experience</t>
  </si>
  <si>
    <t>Track Record</t>
  </si>
  <si>
    <t>D</t>
  </si>
  <si>
    <t>YR 3 Nom Exit Cap</t>
  </si>
  <si>
    <t>YR 6 Nom Exit Cap</t>
  </si>
  <si>
    <t>VERIFY THIS</t>
  </si>
  <si>
    <t>Min Wt</t>
  </si>
  <si>
    <t>Max Wt</t>
  </si>
  <si>
    <t>Sharp ratio</t>
  </si>
  <si>
    <t>Final Wt</t>
  </si>
  <si>
    <t>Pert IRR</t>
  </si>
  <si>
    <t>Pert Sharp</t>
  </si>
  <si>
    <t>Port Ret</t>
  </si>
  <si>
    <t>Port Std</t>
  </si>
  <si>
    <t>Count</t>
  </si>
  <si>
    <t>Smallest</t>
  </si>
  <si>
    <t>3 YR</t>
  </si>
  <si>
    <t>Rank</t>
  </si>
  <si>
    <t>Step1</t>
  </si>
  <si>
    <t>Cum</t>
  </si>
  <si>
    <t>Step2</t>
  </si>
  <si>
    <t>Diversification factor (higher means more concentrated)</t>
  </si>
  <si>
    <t>Min value</t>
  </si>
  <si>
    <t>3 YR  IRR</t>
  </si>
  <si>
    <t>6 YR  IRR</t>
  </si>
  <si>
    <t>Tot UnLev Ret</t>
  </si>
  <si>
    <t>Tot Unlevered Ret</t>
  </si>
  <si>
    <t>Gr Fund Lev Level Ret</t>
  </si>
  <si>
    <t>Capex (Recc)</t>
  </si>
  <si>
    <t>Rent 3 YR CAGR</t>
  </si>
  <si>
    <t>Rent 6 YR CAGR</t>
  </si>
  <si>
    <t>Other Return</t>
  </si>
  <si>
    <t>Cap Rate Changes</t>
  </si>
  <si>
    <t>6 YR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</si>
</sst>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0.0.%"/>
    <numFmt numFmtId="166" formatCode="0.00.%"/>
    <numFmt numFmtId="167" formatCode="0.000000"/>
    <numFmt numFmtId="168" formatCode="0.000"/>
    <numFmt numFmtId="169" formatCode="_(* #,##0_);_(* \(#,##0\);_(* &quot;-&quot;??_);_(@_)"/>
  </numFmts>
  <fonts count="18" x14ac:knownFonts="1"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.5"/>
      <name val="Times New Roman"/>
      <family val="1"/>
    </font>
    <font>
      <sz val="11"/>
      <color rgb="FF000000"/>
      <name val="Calibri"/>
      <family val="2"/>
    </font>
    <font>
      <sz val="11.5"/>
      <color rgb="FF0070C0"/>
      <name val="Times New Roman"/>
      <family val="1"/>
    </font>
    <font>
      <sz val="8"/>
      <name val="Calibri"/>
      <family val="2"/>
    </font>
    <font>
      <b/>
      <sz val="11.5"/>
      <name val="Times New Roman"/>
      <family val="1"/>
    </font>
    <font>
      <b/>
      <sz val="11"/>
      <color rgb="FF000000"/>
      <name val="Calibri"/>
      <family val="2"/>
    </font>
    <font>
      <sz val="11"/>
      <color rgb="FF0070C0"/>
      <name val="Calibri"/>
      <family val="2"/>
    </font>
    <font>
      <b/>
      <i/>
      <sz val="11"/>
      <color rgb="FF000000"/>
      <name val="Calibri"/>
      <family val="2"/>
    </font>
    <font>
      <b/>
      <i/>
      <sz val="11.5"/>
      <name val="Times New Roman"/>
      <family val="1"/>
    </font>
    <font>
      <i/>
      <sz val="11"/>
      <color rgb="FF000000"/>
      <name val="Calibri"/>
      <family val="2"/>
    </font>
    <font>
      <sz val="11"/>
      <name val="Calibri"/>
      <family val="2"/>
    </font>
    <font>
      <b/>
      <sz val="9"/>
      <color rgb="FF000000"/>
      <name val="Calibri"/>
      <family val="2"/>
    </font>
    <font>
      <i/>
      <sz val="9"/>
      <color rgb="FF000000"/>
      <name val="Calibri"/>
      <family val="2"/>
    </font>
    <font>
      <sz val="11"/>
      <color theme="3" tint="0.499984740745262"/>
      <name val="Calibri"/>
      <family val="2"/>
    </font>
    <font>
      <sz val="11"/>
      <color rgb="FFFF0000"/>
      <name val="Calibri"/>
      <family val="2"/>
    </font>
    <font>
      <sz val="11"/>
      <color rgb="FFC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left" vertical="top" wrapText="1"/>
    </xf>
    <xf numFmtId="165" fontId="2" fillId="0" borderId="1" xfId="0" applyNumberFormat="1" applyFont="1" applyBorder="1" applyAlignment="1">
      <alignment horizontal="left" vertical="top" wrapText="1"/>
    </xf>
    <xf numFmtId="165" fontId="4" fillId="0" borderId="1" xfId="0" applyNumberFormat="1" applyFont="1" applyBorder="1" applyAlignment="1">
      <alignment horizontal="left" vertical="top" wrapText="1"/>
    </xf>
    <xf numFmtId="166" fontId="4" fillId="0" borderId="1" xfId="0" applyNumberFormat="1" applyFont="1" applyBorder="1" applyAlignment="1">
      <alignment horizontal="left" vertical="top" wrapText="1"/>
    </xf>
    <xf numFmtId="9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0" fontId="6" fillId="0" borderId="1" xfId="0" applyFont="1" applyBorder="1" applyAlignment="1">
      <alignment horizontal="left" vertical="top" wrapText="1"/>
    </xf>
    <xf numFmtId="0" fontId="7" fillId="0" borderId="0" xfId="0" applyFont="1"/>
    <xf numFmtId="0" fontId="2" fillId="0" borderId="0" xfId="0" applyFont="1" applyAlignment="1">
      <alignment horizontal="left" vertical="top" wrapText="1"/>
    </xf>
    <xf numFmtId="10" fontId="8" fillId="0" borderId="0" xfId="0" applyNumberFormat="1" applyFont="1"/>
    <xf numFmtId="165" fontId="2" fillId="0" borderId="0" xfId="0" applyNumberFormat="1" applyFont="1" applyAlignment="1">
      <alignment horizontal="left" vertical="top" wrapText="1"/>
    </xf>
    <xf numFmtId="0" fontId="9" fillId="0" borderId="0" xfId="0" applyFont="1"/>
    <xf numFmtId="0" fontId="10" fillId="0" borderId="1" xfId="0" applyFont="1" applyBorder="1" applyAlignment="1">
      <alignment horizontal="left" vertical="top" wrapText="1"/>
    </xf>
    <xf numFmtId="0" fontId="11" fillId="0" borderId="0" xfId="0" applyFont="1"/>
    <xf numFmtId="10" fontId="0" fillId="0" borderId="0" xfId="0" applyNumberFormat="1"/>
    <xf numFmtId="0" fontId="0" fillId="3" borderId="0" xfId="0" applyFill="1"/>
    <xf numFmtId="0" fontId="0" fillId="4" borderId="0" xfId="0" applyFill="1"/>
    <xf numFmtId="0" fontId="6" fillId="0" borderId="0" xfId="0" applyFont="1" applyAlignment="1">
      <alignment horizontal="left" vertical="top" wrapText="1"/>
    </xf>
    <xf numFmtId="10" fontId="12" fillId="0" borderId="0" xfId="0" applyNumberFormat="1" applyFont="1"/>
    <xf numFmtId="10" fontId="12" fillId="2" borderId="0" xfId="0" applyNumberFormat="1" applyFont="1" applyFill="1"/>
    <xf numFmtId="0" fontId="13" fillId="0" borderId="2" xfId="0" applyFont="1" applyBorder="1"/>
    <xf numFmtId="10" fontId="14" fillId="0" borderId="3" xfId="0" applyNumberFormat="1" applyFont="1" applyBorder="1"/>
    <xf numFmtId="0" fontId="14" fillId="0" borderId="4" xfId="0" applyFont="1" applyBorder="1"/>
    <xf numFmtId="9" fontId="8" fillId="0" borderId="0" xfId="1" applyFont="1" applyAlignment="1">
      <alignment wrapText="1"/>
    </xf>
    <xf numFmtId="10" fontId="8" fillId="0" borderId="0" xfId="1" applyNumberFormat="1" applyFont="1" applyAlignment="1">
      <alignment wrapText="1"/>
    </xf>
    <xf numFmtId="9" fontId="8" fillId="0" borderId="0" xfId="1" applyFont="1"/>
    <xf numFmtId="0" fontId="7" fillId="0" borderId="0" xfId="0" applyFont="1" applyAlignment="1">
      <alignment horizontal="right"/>
    </xf>
    <xf numFmtId="43" fontId="9" fillId="0" borderId="0" xfId="2" applyFont="1"/>
    <xf numFmtId="167" fontId="0" fillId="0" borderId="0" xfId="0" applyNumberFormat="1"/>
    <xf numFmtId="0" fontId="8" fillId="5" borderId="0" xfId="0" applyFont="1" applyFill="1"/>
    <xf numFmtId="0" fontId="0" fillId="0" borderId="0" xfId="0" applyAlignment="1">
      <alignment horizontal="right" wrapText="1"/>
    </xf>
    <xf numFmtId="10" fontId="0" fillId="0" borderId="0" xfId="1" applyNumberFormat="1" applyFont="1"/>
    <xf numFmtId="168" fontId="0" fillId="0" borderId="0" xfId="0" applyNumberFormat="1"/>
    <xf numFmtId="165" fontId="0" fillId="0" borderId="0" xfId="0" applyNumberFormat="1"/>
    <xf numFmtId="0" fontId="15" fillId="0" borderId="0" xfId="0" applyFont="1"/>
    <xf numFmtId="9" fontId="15" fillId="0" borderId="0" xfId="0" applyNumberFormat="1" applyFont="1"/>
    <xf numFmtId="10" fontId="7" fillId="0" borderId="0" xfId="1" applyNumberFormat="1" applyFont="1"/>
    <xf numFmtId="9" fontId="0" fillId="0" borderId="0" xfId="1" applyFont="1"/>
    <xf numFmtId="165" fontId="4" fillId="0" borderId="0" xfId="0" applyNumberFormat="1" applyFont="1" applyAlignment="1">
      <alignment horizontal="left" vertical="top" wrapText="1"/>
    </xf>
    <xf numFmtId="0" fontId="0" fillId="6" borderId="0" xfId="0" applyFill="1"/>
    <xf numFmtId="10" fontId="8" fillId="0" borderId="0" xfId="1" applyNumberFormat="1" applyFont="1"/>
    <xf numFmtId="43" fontId="0" fillId="0" borderId="0" xfId="2" applyFont="1"/>
    <xf numFmtId="169" fontId="0" fillId="0" borderId="0" xfId="2" applyNumberFormat="1" applyFont="1"/>
    <xf numFmtId="0" fontId="0" fillId="0" borderId="0" xfId="0" applyAlignment="1">
      <alignment horizontal="right"/>
    </xf>
    <xf numFmtId="0" fontId="8" fillId="0" borderId="0" xfId="0" applyFont="1"/>
    <xf numFmtId="0" fontId="14" fillId="0" borderId="0" xfId="0" applyFont="1"/>
    <xf numFmtId="10" fontId="16" fillId="7" borderId="0" xfId="0" applyNumberFormat="1" applyFont="1" applyFill="1"/>
    <xf numFmtId="0" fontId="7" fillId="0" borderId="0" xfId="0" applyFont="1" applyAlignment="1">
      <alignment horizontal="right" wrapText="1"/>
    </xf>
    <xf numFmtId="10" fontId="12" fillId="0" borderId="0" xfId="1" applyNumberFormat="1" applyFont="1" applyAlignment="1">
      <alignment wrapText="1"/>
    </xf>
    <xf numFmtId="10" fontId="12" fillId="0" borderId="0" xfId="1" applyNumberFormat="1" applyFont="1"/>
    <xf numFmtId="0" fontId="16" fillId="0" borderId="0" xfId="0" applyFont="1"/>
    <xf numFmtId="164" fontId="17" fillId="0" borderId="0" xfId="0" applyNumberFormat="1" applyFont="1"/>
    <xf numFmtId="0" fontId="2" fillId="0" borderId="5" xfId="0" applyFont="1" applyBorder="1" applyAlignment="1">
      <alignment horizontal="left" vertical="top" wrapText="1"/>
    </xf>
    <xf numFmtId="0" fontId="7" fillId="0" borderId="0" xfId="0" applyFont="1" applyBorder="1"/>
    <xf numFmtId="0" fontId="6" fillId="0" borderId="0" xfId="0" applyFont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tmp!$D$1</c:f>
              <c:strCache>
                <c:ptCount val="1"/>
                <c:pt idx="0">
                  <c:v>3  YR          IRR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tmp!$C$2:$C$20</c:f>
              <c:numCache>
                <c:formatCode>0.00%</c:formatCode>
                <c:ptCount val="19"/>
                <c:pt idx="0">
                  <c:v>0.01</c:v>
                </c:pt>
                <c:pt idx="1">
                  <c:v>1.4999999999999999E-2</c:v>
                </c:pt>
                <c:pt idx="2">
                  <c:v>0.03</c:v>
                </c:pt>
                <c:pt idx="3">
                  <c:v>0.02</c:v>
                </c:pt>
                <c:pt idx="4">
                  <c:v>1.2500000000000001E-2</c:v>
                </c:pt>
                <c:pt idx="5">
                  <c:v>1.7500000000000002E-2</c:v>
                </c:pt>
                <c:pt idx="6">
                  <c:v>3.5000000000000003E-2</c:v>
                </c:pt>
                <c:pt idx="7">
                  <c:v>2.5000000000000001E-2</c:v>
                </c:pt>
                <c:pt idx="8">
                  <c:v>1.4999999999999999E-2</c:v>
                </c:pt>
                <c:pt idx="9">
                  <c:v>1.4999999999999999E-2</c:v>
                </c:pt>
                <c:pt idx="10">
                  <c:v>1.4999999999999999E-2</c:v>
                </c:pt>
                <c:pt idx="11">
                  <c:v>1.2500000000000001E-2</c:v>
                </c:pt>
                <c:pt idx="12">
                  <c:v>1.4999999999999999E-2</c:v>
                </c:pt>
                <c:pt idx="13">
                  <c:v>0.01</c:v>
                </c:pt>
                <c:pt idx="14">
                  <c:v>1.2500000000000001E-2</c:v>
                </c:pt>
                <c:pt idx="15">
                  <c:v>1.4999999999999999E-2</c:v>
                </c:pt>
                <c:pt idx="16">
                  <c:v>2.5000000000000001E-2</c:v>
                </c:pt>
                <c:pt idx="17">
                  <c:v>0.02</c:v>
                </c:pt>
                <c:pt idx="18">
                  <c:v>1.7500000000000002E-2</c:v>
                </c:pt>
              </c:numCache>
            </c:numRef>
          </c:xVal>
          <c:yVal>
            <c:numRef>
              <c:f>tmp!$D$2:$D$20</c:f>
              <c:numCache>
                <c:formatCode>0.0%</c:formatCode>
                <c:ptCount val="19"/>
                <c:pt idx="0">
                  <c:v>0.25090455986373772</c:v>
                </c:pt>
                <c:pt idx="1">
                  <c:v>0.14946424472706615</c:v>
                </c:pt>
                <c:pt idx="2">
                  <c:v>-7.7132978262232851E-2</c:v>
                </c:pt>
                <c:pt idx="3">
                  <c:v>7.3853981293831097E-2</c:v>
                </c:pt>
                <c:pt idx="4">
                  <c:v>0.2680296628426066</c:v>
                </c:pt>
                <c:pt idx="5">
                  <c:v>0.13945853288798016</c:v>
                </c:pt>
                <c:pt idx="6">
                  <c:v>-8.7336844404411071E-2</c:v>
                </c:pt>
                <c:pt idx="7">
                  <c:v>9.8085745214449252E-2</c:v>
                </c:pt>
                <c:pt idx="8">
                  <c:v>0.3832905602756797</c:v>
                </c:pt>
                <c:pt idx="9">
                  <c:v>0.22370483501419047</c:v>
                </c:pt>
                <c:pt idx="10">
                  <c:v>0.12203342148941572</c:v>
                </c:pt>
                <c:pt idx="11">
                  <c:v>0.2865667795188836</c:v>
                </c:pt>
                <c:pt idx="12">
                  <c:v>0.15464525169576443</c:v>
                </c:pt>
                <c:pt idx="13">
                  <c:v>0.19316842150681862</c:v>
                </c:pt>
                <c:pt idx="14">
                  <c:v>6.6775838152175762E-2</c:v>
                </c:pt>
                <c:pt idx="15">
                  <c:v>0.1356131519412152</c:v>
                </c:pt>
                <c:pt idx="16">
                  <c:v>8.0228622344496361E-2</c:v>
                </c:pt>
                <c:pt idx="17">
                  <c:v>1.7887781483563465E-2</c:v>
                </c:pt>
                <c:pt idx="18">
                  <c:v>0.10913091648918417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48-4723-B49A-3B2EE0417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015103"/>
        <c:axId val="860014623"/>
      </c:scatterChart>
      <c:valAx>
        <c:axId val="86001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14623"/>
        <c:crosses val="autoZero"/>
        <c:crossBetween val="midCat"/>
      </c:valAx>
      <c:valAx>
        <c:axId val="86001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0151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port3YR!$D$30</c:f>
              <c:strCache>
                <c:ptCount val="1"/>
                <c:pt idx="0">
                  <c:v>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port3YR!$C$31:$C$49</c:f>
              <c:strCache>
                <c:ptCount val="19"/>
                <c:pt idx="0">
                  <c:v>Core - Res</c:v>
                </c:pt>
                <c:pt idx="1">
                  <c:v>Core - Ind</c:v>
                </c:pt>
                <c:pt idx="2">
                  <c:v>Core - Off</c:v>
                </c:pt>
                <c:pt idx="3">
                  <c:v>Core - Retail</c:v>
                </c:pt>
                <c:pt idx="4">
                  <c:v>Core-Plus - Res</c:v>
                </c:pt>
                <c:pt idx="5">
                  <c:v>Core-Plus - Ind</c:v>
                </c:pt>
                <c:pt idx="6">
                  <c:v>Core-Plus - Off</c:v>
                </c:pt>
                <c:pt idx="7">
                  <c:v>Core-Plus - Ret</c:v>
                </c:pt>
                <c:pt idx="8">
                  <c:v>Data Center</c:v>
                </c:pt>
                <c:pt idx="9">
                  <c:v>Single-Family Rental</c:v>
                </c:pt>
                <c:pt idx="10">
                  <c:v>Cold Storage</c:v>
                </c:pt>
                <c:pt idx="11">
                  <c:v>Senior Housing</c:v>
                </c:pt>
                <c:pt idx="12">
                  <c:v>Student Housing</c:v>
                </c:pt>
                <c:pt idx="13">
                  <c:v>Affordable Housing</c:v>
                </c:pt>
                <c:pt idx="14">
                  <c:v>Manufactured Home Park</c:v>
                </c:pt>
                <c:pt idx="15">
                  <c:v>Medical Office</c:v>
                </c:pt>
                <c:pt idx="16">
                  <c:v>Life Science</c:v>
                </c:pt>
                <c:pt idx="17">
                  <c:v>Self-Storage</c:v>
                </c:pt>
                <c:pt idx="18">
                  <c:v>IOS</c:v>
                </c:pt>
              </c:strCache>
            </c:strRef>
          </c:cat>
          <c:val>
            <c:numRef>
              <c:f>port3YR!$D$31:$D$49</c:f>
              <c:numCache>
                <c:formatCode>0.0%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0.3</c:v>
                </c:pt>
                <c:pt idx="5">
                  <c:v>0.22999999999999973</c:v>
                </c:pt>
                <c:pt idx="6">
                  <c:v>0.05</c:v>
                </c:pt>
                <c:pt idx="7">
                  <c:v>0.05</c:v>
                </c:pt>
                <c:pt idx="8">
                  <c:v>0.1</c:v>
                </c:pt>
                <c:pt idx="9">
                  <c:v>0.1</c:v>
                </c:pt>
                <c:pt idx="10">
                  <c:v>0.02</c:v>
                </c:pt>
                <c:pt idx="11">
                  <c:v>0.04</c:v>
                </c:pt>
                <c:pt idx="12">
                  <c:v>0.04</c:v>
                </c:pt>
                <c:pt idx="13">
                  <c:v>0.02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906-4512-8F1A-8E6516E08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551215"/>
        <c:axId val="218548815"/>
      </c:barChart>
      <c:catAx>
        <c:axId val="21855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48815"/>
        <c:crosses val="autoZero"/>
        <c:auto val="1"/>
        <c:lblAlgn val="ctr"/>
        <c:lblOffset val="100"/>
        <c:noMultiLvlLbl val="0"/>
      </c:catAx>
      <c:valAx>
        <c:axId val="2185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5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port6YR!$D$30</c:f>
              <c:strCache>
                <c:ptCount val="1"/>
                <c:pt idx="0">
                  <c:v>Port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port6YR!$C$31:$C$49</c:f>
              <c:strCache>
                <c:ptCount val="19"/>
                <c:pt idx="0">
                  <c:v>Core - Res</c:v>
                </c:pt>
                <c:pt idx="1">
                  <c:v>Core - Ind</c:v>
                </c:pt>
                <c:pt idx="2">
                  <c:v>Core - Off</c:v>
                </c:pt>
                <c:pt idx="3">
                  <c:v>Core - Retail</c:v>
                </c:pt>
                <c:pt idx="4">
                  <c:v>Core-Plus - Res</c:v>
                </c:pt>
                <c:pt idx="5">
                  <c:v>Core-Plus - Ind</c:v>
                </c:pt>
                <c:pt idx="6">
                  <c:v>Core-Plus - Off</c:v>
                </c:pt>
                <c:pt idx="7">
                  <c:v>Core-Plus - Ret</c:v>
                </c:pt>
                <c:pt idx="8">
                  <c:v>Data Center</c:v>
                </c:pt>
                <c:pt idx="9">
                  <c:v>Single-Family Rental</c:v>
                </c:pt>
                <c:pt idx="10">
                  <c:v>Cold Storage</c:v>
                </c:pt>
                <c:pt idx="11">
                  <c:v>Senior Housing</c:v>
                </c:pt>
                <c:pt idx="12">
                  <c:v>Student Housing</c:v>
                </c:pt>
                <c:pt idx="13">
                  <c:v>Affordable Housing</c:v>
                </c:pt>
                <c:pt idx="14">
                  <c:v>Manufactured Home Park</c:v>
                </c:pt>
                <c:pt idx="15">
                  <c:v>Medical Office</c:v>
                </c:pt>
                <c:pt idx="16">
                  <c:v>Life Science</c:v>
                </c:pt>
                <c:pt idx="17">
                  <c:v>Self-Storage</c:v>
                </c:pt>
                <c:pt idx="18">
                  <c:v>IOS</c:v>
                </c:pt>
              </c:strCache>
            </c:strRef>
          </c:cat>
          <c:val>
            <c:numRef>
              <c:f>port6YR!$D$31:$D$49</c:f>
              <c:numCache>
                <c:formatCode>0.0%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0.2</c:v>
                </c:pt>
                <c:pt idx="6">
                  <c:v>0.05</c:v>
                </c:pt>
                <c:pt idx="7">
                  <c:v>0.12999999999999978</c:v>
                </c:pt>
                <c:pt idx="8">
                  <c:v>0.17499999999999999</c:v>
                </c:pt>
                <c:pt idx="9">
                  <c:v>0.05</c:v>
                </c:pt>
                <c:pt idx="10">
                  <c:v>0.02</c:v>
                </c:pt>
                <c:pt idx="11">
                  <c:v>7.0000000000000007E-2</c:v>
                </c:pt>
                <c:pt idx="12">
                  <c:v>0.02</c:v>
                </c:pt>
                <c:pt idx="13">
                  <c:v>3.5000000000000003E-2</c:v>
                </c:pt>
                <c:pt idx="14">
                  <c:v>0.01</c:v>
                </c:pt>
                <c:pt idx="15">
                  <c:v>0.01</c:v>
                </c:pt>
                <c:pt idx="16">
                  <c:v>0.01</c:v>
                </c:pt>
                <c:pt idx="17">
                  <c:v>0.01</c:v>
                </c:pt>
                <c:pt idx="18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7B-427A-BCB3-97D93F07FD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8551215"/>
        <c:axId val="218548815"/>
      </c:barChart>
      <c:catAx>
        <c:axId val="21855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48815"/>
        <c:crosses val="autoZero"/>
        <c:auto val="1"/>
        <c:lblAlgn val="ctr"/>
        <c:lblOffset val="100"/>
        <c:noMultiLvlLbl val="0"/>
      </c:catAx>
      <c:valAx>
        <c:axId val="2185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855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28406</xdr:colOff>
      <xdr:row>1</xdr:row>
      <xdr:rowOff>33421</xdr:rowOff>
    </xdr:from>
    <xdr:to>
      <xdr:col>24</xdr:col>
      <xdr:colOff>317499</xdr:colOff>
      <xdr:row>24</xdr:row>
      <xdr:rowOff>175461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098509-4C77-1DC9-3E9B-3FF6D7FE8A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533399</xdr:colOff>
      <xdr:row>5</xdr:row>
      <xdr:rowOff>76200</xdr:rowOff>
    </xdr:from>
    <xdr:to>
      <xdr:col>20</xdr:col>
      <xdr:colOff>409574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F283E3-A8F5-777D-3387-8617B0490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533399</xdr:colOff>
      <xdr:row>5</xdr:row>
      <xdr:rowOff>76200</xdr:rowOff>
    </xdr:from>
    <xdr:to>
      <xdr:col>20</xdr:col>
      <xdr:colOff>409574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A381C2-2107-4F73-BC64-E1D4633AA7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Prashant Tewari" id="{D078E2DB-C616-4B51-A3DF-0A71ADDED402}" userId="7c69a2147807cf63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U2" dT="2025-03-29T19:29:57.41" personId="{D078E2DB-C616-4B51-A3DF-0A71ADDED402}" id="{7A6D356D-6113-4E9A-AC9D-73056028F99E}">
    <text>Assumed to be rent gr in Year 4</text>
  </threadedComment>
  <threadedComment ref="CV2" dT="2025-03-31T17:13:51.51" personId="{D078E2DB-C616-4B51-A3DF-0A71ADDED402}" id="{8CFFEF0C-B295-4FA8-96C7-631829411BA0}">
    <text>Going fwd rent gr expected to be the one in Yr 6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58" dT="2025-02-21T16:08:38.33" personId="{D078E2DB-C616-4B51-A3DF-0A71ADDED402}" id="{224F5908-07D2-4AC3-A9F5-3D412E5DFB91}">
    <text>Discreet4 (1,2,3,4) 4 = top quality; 3 = Above acceptable; 2 = has issues and might require caution 1 = not acceptable</text>
  </threadedComment>
  <threadedComment ref="C61" dT="2025-02-21T16:12:40.27" personId="{D078E2DB-C616-4B51-A3DF-0A71ADDED402}" id="{0D3F8405-733A-402D-B0DA-8A1EA42F8C11}">
    <text xml:space="preserve">1 = no prior experience, 2 = know the people but not the GP, 3 = Exp with another team in the same platform, 4 = Exp with the same team in the same platform
</text>
  </threadedComment>
  <threadedComment ref="C62" dT="2025-02-21T16:02:45.42" personId="{D078E2DB-C616-4B51-A3DF-0A71ADDED402}" id="{171B87AA-165F-4F66-9DCE-415AE9190859}">
    <text>Discreet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Y2" dT="2025-03-29T19:29:57.41" personId="{D078E2DB-C616-4B51-A3DF-0A71ADDED402}" id="{5CBD30C9-B73A-4866-AB7D-05DFA58E714D}">
    <text>Assumed to be rent gr in Year 4</text>
  </threadedComment>
  <threadedComment ref="CZ2" dT="2025-03-31T17:13:51.51" personId="{D078E2DB-C616-4B51-A3DF-0A71ADDED402}" id="{6919C7F4-6228-4B0E-BE8E-34B5F325D371}">
    <text>Going fwd rent gr expected to be the one in Yr 6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43" row="5">
    <wetp:webextensionref xmlns:r="http://schemas.openxmlformats.org/officeDocument/2006/relationships" r:id="rId1"/>
  </wetp:taskpane>
  <wetp:taskpane dockstate="right" visibility="0" width="350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3CDC3F4-7590-4ED2-8828-9B8650616FD0}">
  <we:reference id="wa200007447" version="1.0.0.0" store="en-US" storeType="OMEX"/>
  <we:alternateReferences>
    <we:reference id="wa200007447" version="1.0.0.0" store="wa200007447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_xldudf_BOARDFLARE_RUNPY</we:customFunctionIds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675BFCB-0C8A-431B-AB42-10BF053EDACE}">
  <we:reference id="wa200005271" version="2.5.5.0" store="en-US" storeType="OMEX"/>
  <we:alternateReferences>
    <we:reference id="wa200005271" version="2.5.5.0" store="wa200005271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A2196-E7DE-4EF8-AC79-C15F52CC4DD1}">
  <dimension ref="A1:DB49"/>
  <sheetViews>
    <sheetView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K23" sqref="K23"/>
    </sheetView>
    <sheetView workbookViewId="1">
      <selection activeCell="D14" sqref="D14"/>
    </sheetView>
  </sheetViews>
  <sheetFormatPr defaultRowHeight="15" x14ac:dyDescent="0.25"/>
  <cols>
    <col min="1" max="1" width="15.140625" bestFit="1" customWidth="1"/>
    <col min="2" max="2" width="18.85546875" customWidth="1"/>
    <col min="3" max="3" width="23.5703125" bestFit="1" customWidth="1"/>
    <col min="4" max="4" width="12.5703125" customWidth="1"/>
    <col min="5" max="5" width="7.5703125" hidden="1" customWidth="1"/>
    <col min="6" max="6" width="10" customWidth="1"/>
    <col min="7" max="7" width="7.7109375" customWidth="1"/>
    <col min="8" max="9" width="12.42578125" customWidth="1"/>
    <col min="10" max="10" width="10.42578125" customWidth="1"/>
    <col min="11" max="12" width="9.85546875" hidden="1" customWidth="1"/>
    <col min="13" max="13" width="10.42578125" hidden="1" customWidth="1"/>
    <col min="14" max="14" width="7.5703125" customWidth="1"/>
    <col min="15" max="15" width="10.28515625" customWidth="1"/>
    <col min="16" max="16" width="7.140625" customWidth="1"/>
    <col min="20" max="21" width="10.7109375" customWidth="1"/>
    <col min="22" max="32" width="10.42578125" customWidth="1"/>
    <col min="43" max="43" width="10.85546875" bestFit="1" customWidth="1"/>
    <col min="84" max="87" width="18.28515625" customWidth="1"/>
    <col min="88" max="89" width="15.7109375" customWidth="1"/>
    <col min="90" max="90" width="13.42578125" customWidth="1"/>
    <col min="99" max="100" width="11.7109375" customWidth="1"/>
    <col min="102" max="103" width="11.5703125" customWidth="1"/>
    <col min="105" max="106" width="11.5703125" customWidth="1"/>
  </cols>
  <sheetData>
    <row r="1" spans="1:106" x14ac:dyDescent="0.25">
      <c r="H1" s="18" t="s">
        <v>0</v>
      </c>
      <c r="I1" s="18"/>
      <c r="K1" s="18"/>
      <c r="L1" s="18"/>
      <c r="N1" s="17" t="s">
        <v>1</v>
      </c>
      <c r="O1" s="17"/>
      <c r="P1" s="17"/>
      <c r="Q1" s="17"/>
      <c r="R1" s="17"/>
      <c r="S1" s="17"/>
      <c r="V1" s="18" t="s">
        <v>2</v>
      </c>
      <c r="W1" s="18"/>
      <c r="Y1" s="18" t="s">
        <v>3</v>
      </c>
      <c r="Z1" s="18"/>
      <c r="AB1" s="18" t="s">
        <v>4</v>
      </c>
      <c r="AC1" s="18"/>
      <c r="AE1" s="18" t="s">
        <v>5</v>
      </c>
      <c r="AF1" s="18"/>
      <c r="AH1" s="17" t="s">
        <v>1</v>
      </c>
      <c r="AI1" s="17"/>
      <c r="AJ1" s="17"/>
      <c r="AK1" s="17"/>
      <c r="AL1" s="17"/>
      <c r="AM1" s="17"/>
      <c r="AN1" s="17"/>
      <c r="AO1" s="17"/>
      <c r="AQ1" s="18" t="s">
        <v>6</v>
      </c>
      <c r="AR1" s="18"/>
      <c r="AS1" s="18"/>
      <c r="AT1" s="18"/>
      <c r="BQ1" s="9" t="s">
        <v>7</v>
      </c>
      <c r="BX1" s="9" t="s">
        <v>8</v>
      </c>
      <c r="CU1" s="9" t="s">
        <v>9</v>
      </c>
    </row>
    <row r="2" spans="1:106" s="9" customFormat="1" ht="30" x14ac:dyDescent="0.25">
      <c r="A2" s="9" t="s">
        <v>10</v>
      </c>
      <c r="B2" s="8" t="s">
        <v>11</v>
      </c>
      <c r="C2" s="8" t="s">
        <v>12</v>
      </c>
      <c r="D2" s="8" t="s">
        <v>13</v>
      </c>
      <c r="E2" s="8" t="s">
        <v>14</v>
      </c>
      <c r="F2" s="8" t="s">
        <v>15</v>
      </c>
      <c r="G2" s="8"/>
      <c r="H2" s="8" t="s">
        <v>16</v>
      </c>
      <c r="I2" s="8" t="s">
        <v>17</v>
      </c>
      <c r="J2" s="19"/>
      <c r="K2" s="8" t="s">
        <v>18</v>
      </c>
      <c r="L2" s="8" t="s">
        <v>19</v>
      </c>
      <c r="M2" s="19"/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26</v>
      </c>
      <c r="U2" s="8" t="s">
        <v>27</v>
      </c>
      <c r="V2" s="8" t="s">
        <v>28</v>
      </c>
      <c r="W2" s="8" t="s">
        <v>29</v>
      </c>
      <c r="X2" s="19"/>
      <c r="Y2" s="8" t="s">
        <v>30</v>
      </c>
      <c r="Z2" s="8" t="s">
        <v>31</v>
      </c>
      <c r="AA2" s="19"/>
      <c r="AB2" s="8" t="s">
        <v>28</v>
      </c>
      <c r="AC2" s="8" t="s">
        <v>29</v>
      </c>
      <c r="AD2" s="19"/>
      <c r="AE2" s="8" t="s">
        <v>28</v>
      </c>
      <c r="AF2" s="8" t="s">
        <v>29</v>
      </c>
      <c r="AH2" s="8" t="s">
        <v>20</v>
      </c>
      <c r="AI2" s="8" t="s">
        <v>21</v>
      </c>
      <c r="AJ2" s="8" t="s">
        <v>22</v>
      </c>
      <c r="AK2" s="8" t="s">
        <v>23</v>
      </c>
      <c r="AL2" s="8" t="s">
        <v>24</v>
      </c>
      <c r="AM2" s="8" t="s">
        <v>25</v>
      </c>
      <c r="AN2" s="8" t="s">
        <v>26</v>
      </c>
      <c r="AO2" s="8" t="s">
        <v>27</v>
      </c>
      <c r="AQ2" s="8" t="s">
        <v>18</v>
      </c>
      <c r="AR2" s="8" t="s">
        <v>32</v>
      </c>
      <c r="AS2" s="19"/>
      <c r="AT2" s="32" t="s">
        <v>33</v>
      </c>
      <c r="AV2" s="13"/>
      <c r="AW2" s="14" t="s">
        <v>20</v>
      </c>
      <c r="AX2" s="14" t="s">
        <v>21</v>
      </c>
      <c r="AY2" s="14" t="s">
        <v>22</v>
      </c>
      <c r="AZ2" s="13"/>
      <c r="BA2" s="13"/>
      <c r="BB2" s="14" t="s">
        <v>20</v>
      </c>
      <c r="BC2" s="14" t="s">
        <v>21</v>
      </c>
      <c r="BD2" s="14" t="s">
        <v>22</v>
      </c>
      <c r="BE2" s="14" t="s">
        <v>23</v>
      </c>
      <c r="BF2" s="14" t="s">
        <v>24</v>
      </c>
      <c r="BG2" s="14" t="s">
        <v>25</v>
      </c>
      <c r="BI2" s="9" t="s">
        <v>34</v>
      </c>
      <c r="BJ2" s="9" t="s">
        <v>35</v>
      </c>
      <c r="BK2" s="9" t="s">
        <v>36</v>
      </c>
      <c r="BL2" s="9" t="s">
        <v>37</v>
      </c>
      <c r="BM2" s="9" t="s">
        <v>38</v>
      </c>
      <c r="BN2" s="9" t="s">
        <v>39</v>
      </c>
      <c r="BO2" s="9" t="s">
        <v>40</v>
      </c>
      <c r="BQ2" s="9" t="s">
        <v>41</v>
      </c>
      <c r="BR2" s="9" t="s">
        <v>42</v>
      </c>
      <c r="BS2" s="9" t="s">
        <v>43</v>
      </c>
      <c r="BT2" s="9" t="s">
        <v>44</v>
      </c>
      <c r="BU2" s="28" t="s">
        <v>45</v>
      </c>
      <c r="BV2" s="28" t="s">
        <v>46</v>
      </c>
      <c r="BW2" s="28"/>
      <c r="BX2" s="9" t="s">
        <v>47</v>
      </c>
      <c r="BY2" s="9" t="s">
        <v>42</v>
      </c>
      <c r="BZ2" s="9" t="s">
        <v>43</v>
      </c>
      <c r="CA2" s="9" t="s">
        <v>44</v>
      </c>
      <c r="CB2" s="28" t="s">
        <v>45</v>
      </c>
      <c r="CC2" s="28" t="s">
        <v>46</v>
      </c>
      <c r="CD2" s="28"/>
      <c r="CE2" s="28"/>
      <c r="CF2" s="49" t="s">
        <v>48</v>
      </c>
      <c r="CG2" s="49" t="s">
        <v>49</v>
      </c>
      <c r="CH2" s="49" t="s">
        <v>50</v>
      </c>
      <c r="CI2" s="49" t="s">
        <v>51</v>
      </c>
      <c r="CJ2" s="49" t="s">
        <v>52</v>
      </c>
      <c r="CK2" s="49" t="s">
        <v>53</v>
      </c>
      <c r="CL2" s="49" t="s">
        <v>54</v>
      </c>
      <c r="CM2" s="14" t="s">
        <v>20</v>
      </c>
      <c r="CN2" s="14" t="s">
        <v>21</v>
      </c>
      <c r="CO2" s="14" t="s">
        <v>22</v>
      </c>
      <c r="CP2" s="14" t="s">
        <v>23</v>
      </c>
      <c r="CQ2" s="14" t="s">
        <v>24</v>
      </c>
      <c r="CR2" s="14" t="s">
        <v>25</v>
      </c>
      <c r="CU2" s="49" t="s">
        <v>55</v>
      </c>
      <c r="CV2" s="49" t="s">
        <v>56</v>
      </c>
      <c r="CX2" s="8" t="s">
        <v>57</v>
      </c>
      <c r="CY2" s="8" t="s">
        <v>58</v>
      </c>
      <c r="DA2" s="8" t="s">
        <v>59</v>
      </c>
      <c r="DB2" s="8" t="s">
        <v>60</v>
      </c>
    </row>
    <row r="3" spans="1:106" x14ac:dyDescent="0.25">
      <c r="A3">
        <v>1</v>
      </c>
      <c r="B3" s="1" t="s">
        <v>61</v>
      </c>
      <c r="C3" s="1" t="s">
        <v>62</v>
      </c>
      <c r="D3" s="3">
        <v>4.7E-2</v>
      </c>
      <c r="E3" s="3">
        <v>0.159</v>
      </c>
      <c r="F3" s="2">
        <f>+D3*(1-E3)</f>
        <v>3.9527E-2</v>
      </c>
      <c r="G3" s="4"/>
      <c r="H3" s="2">
        <f>CX3</f>
        <v>2.5000000000000001E-2</v>
      </c>
      <c r="I3" s="2">
        <f>CY3</f>
        <v>0.04</v>
      </c>
      <c r="J3" s="6"/>
      <c r="K3" s="2">
        <f>+H3/(1-$E3)</f>
        <v>2.9726516052318672E-2</v>
      </c>
      <c r="L3" s="2">
        <f>+I3/(1-$E3)</f>
        <v>4.7562425683709872E-2</v>
      </c>
      <c r="M3" s="6"/>
      <c r="N3" s="2">
        <f t="shared" ref="N3:S21" si="0">+AH3+(D$29-D$34)</f>
        <v>-1.2000000000000004E-2</v>
      </c>
      <c r="O3" s="2">
        <f t="shared" si="0"/>
        <v>0.01</v>
      </c>
      <c r="P3" s="2">
        <f t="shared" si="0"/>
        <v>2.4E-2</v>
      </c>
      <c r="Q3" s="2">
        <f t="shared" si="0"/>
        <v>0.04</v>
      </c>
      <c r="R3" s="2">
        <f t="shared" si="0"/>
        <v>0.05</v>
      </c>
      <c r="S3" s="2">
        <f t="shared" si="0"/>
        <v>2.5000000000000001E-2</v>
      </c>
      <c r="T3" s="2" cm="1">
        <f t="array" ref="T3">+PRODUCT(1+N3:P3)^(0.333333333333333)-1</f>
        <v>7.2240606141020791E-3</v>
      </c>
      <c r="U3" s="12" cm="1">
        <f t="array" ref="U3">+PRODUCT(1+N3:S3)^(1/6)-1</f>
        <v>2.2635338968090002E-2</v>
      </c>
      <c r="V3" s="6">
        <f t="shared" ref="V3:V21" si="1">+IRR(AV3:AY3)</f>
        <v>0.2074880124750802</v>
      </c>
      <c r="W3" s="6">
        <f>+IRR(BA3:BG3)</f>
        <v>6.0137776907668528E-2</v>
      </c>
      <c r="X3" s="6"/>
      <c r="Y3" s="6">
        <f t="shared" ref="Y3:Y21" si="2">+(V3-BI3*BJ3)/(1-BI3)</f>
        <v>0.25228962659101323</v>
      </c>
      <c r="Z3" s="6">
        <f t="shared" ref="Z3:Z21" si="3">+(W3-BI3*BJ3)/(1-BI3)</f>
        <v>6.092568429567341E-2</v>
      </c>
      <c r="AA3" s="6"/>
      <c r="AB3" s="6">
        <f t="shared" ref="AB3:AB21" si="4">V3+$BN3</f>
        <v>0.2124880124750802</v>
      </c>
      <c r="AC3" s="6">
        <f>Z3+$BN3</f>
        <v>6.5925684295673415E-2</v>
      </c>
      <c r="AD3" s="6"/>
      <c r="AE3" s="6">
        <f t="shared" ref="AE3:AF21" si="5">AB3-$BO3</f>
        <v>0.20248801247508019</v>
      </c>
      <c r="AF3" s="6">
        <f t="shared" si="5"/>
        <v>5.5925684295673413E-2</v>
      </c>
      <c r="AH3" s="3">
        <v>-1.2000000000000004E-2</v>
      </c>
      <c r="AI3" s="3">
        <v>0.01</v>
      </c>
      <c r="AJ3" s="3">
        <v>2.4E-2</v>
      </c>
      <c r="AK3" s="3">
        <v>0.04</v>
      </c>
      <c r="AL3" s="3">
        <v>0.05</v>
      </c>
      <c r="AM3" s="3">
        <v>2.5000000000000001E-2</v>
      </c>
      <c r="AN3" s="2" cm="1">
        <f t="array" ref="AN3">+PRODUCT(1+AH3:AJ3)^(0.333333333333333)-1</f>
        <v>7.2240606141020791E-3</v>
      </c>
      <c r="AO3" s="12" cm="1">
        <f t="array" ref="AO3">+PRODUCT(1+AH3:AM3)^(1/6)-1</f>
        <v>2.2635338968090002E-2</v>
      </c>
      <c r="AQ3" s="3">
        <v>-3.3140000000000044E-3</v>
      </c>
      <c r="AR3" s="3">
        <v>-5.0000000000000001E-3</v>
      </c>
      <c r="AS3" s="40"/>
      <c r="AT3" s="42">
        <v>0.01</v>
      </c>
      <c r="AV3" s="15">
        <f>-1</f>
        <v>-1</v>
      </c>
      <c r="AW3" s="15">
        <f t="shared" ref="AW3:AW21" si="6">+F3*(1+N3)</f>
        <v>3.9052676000000001E-2</v>
      </c>
      <c r="AX3" s="15">
        <f t="shared" ref="AX3:AX21" si="7">+AW3*(1+O3)</f>
        <v>3.9443202760000004E-2</v>
      </c>
      <c r="AY3" s="15">
        <f t="shared" ref="AY3:AY21" si="8">+AX3*(1+P3)+(AX3*(1+P3))/H3</f>
        <v>1.6559834246758403</v>
      </c>
      <c r="AZ3" s="15"/>
      <c r="BA3" s="15">
        <v>-1</v>
      </c>
      <c r="BB3" s="15">
        <f t="shared" ref="BB3:BB21" si="9">+F3*(1+N3)</f>
        <v>3.9052676000000001E-2</v>
      </c>
      <c r="BC3" s="15">
        <f t="shared" ref="BC3:BF21" si="10">+BB3*(1+O3)</f>
        <v>3.9443202760000004E-2</v>
      </c>
      <c r="BD3" s="15">
        <f t="shared" si="10"/>
        <v>4.0389839626240008E-2</v>
      </c>
      <c r="BE3" s="15">
        <f t="shared" si="10"/>
        <v>4.2005433211289613E-2</v>
      </c>
      <c r="BF3" s="15">
        <f t="shared" si="10"/>
        <v>4.4105704871854098E-2</v>
      </c>
      <c r="BG3" s="15">
        <f t="shared" ref="BG3:BG21" si="11">+BF3*(1+S3)+BF3*(1+S3)/I3</f>
        <v>1.1754170348349116</v>
      </c>
      <c r="BI3" s="25">
        <v>0.23</v>
      </c>
      <c r="BJ3" s="50">
        <f>IF($D$25="Base",BK3,IF($D$25="High",BL3,IF($D$25="Low",BM3,"ERR")))</f>
        <v>5.7500000000000002E-2</v>
      </c>
      <c r="BK3" s="26">
        <v>5.7500000000000002E-2</v>
      </c>
      <c r="BL3" s="26">
        <v>6.0000000000000005E-2</v>
      </c>
      <c r="BM3" s="26">
        <v>5.5E-2</v>
      </c>
      <c r="BN3" s="26">
        <v>5.0000000000000001E-3</v>
      </c>
      <c r="BO3" s="26">
        <v>0.01</v>
      </c>
      <c r="BQ3">
        <f t="shared" ref="BQ3:BQ21" si="12">RANK(AE3,AE$3:AE$21)</f>
        <v>5</v>
      </c>
      <c r="BR3">
        <f>+$A3</f>
        <v>1</v>
      </c>
      <c r="BS3" s="27">
        <v>0</v>
      </c>
      <c r="BT3" s="27">
        <v>0.3</v>
      </c>
      <c r="BU3" s="7"/>
      <c r="BX3">
        <f t="shared" ref="BX3:BX21" si="13">RANK(AF3,AF$3:AF$21)</f>
        <v>15</v>
      </c>
      <c r="BY3">
        <f>+$A3</f>
        <v>1</v>
      </c>
      <c r="BZ3" s="27">
        <v>0</v>
      </c>
      <c r="CA3" s="27">
        <v>0.3</v>
      </c>
      <c r="CF3" s="50">
        <f>IF($D$25="Base",CG3,IF($D$25="High",CH3,IF($D$25="Low",CI3,"ERR")))</f>
        <v>2.5000000000000001E-2</v>
      </c>
      <c r="CG3" s="42">
        <v>2.5000000000000001E-2</v>
      </c>
      <c r="CH3" s="42">
        <v>2.75E-2</v>
      </c>
      <c r="CI3" s="42">
        <v>2.2500000000000003E-2</v>
      </c>
      <c r="CJ3" s="51">
        <f>+$F$30+CF3</f>
        <v>6.5000000000000002E-2</v>
      </c>
      <c r="CK3" s="51">
        <f>$I$30+CF3</f>
        <v>6.5000000000000002E-2</v>
      </c>
      <c r="CL3" s="39">
        <f t="shared" ref="CL3:CL21" si="14">+NPV(CJ3,CM3:CR3)</f>
        <v>0.97527843698624417</v>
      </c>
      <c r="CM3">
        <f t="shared" ref="CM3:CR21" si="15">+BB3</f>
        <v>3.9052676000000001E-2</v>
      </c>
      <c r="CN3">
        <f t="shared" si="15"/>
        <v>3.9443202760000004E-2</v>
      </c>
      <c r="CO3">
        <f t="shared" si="15"/>
        <v>4.0389839626240008E-2</v>
      </c>
      <c r="CP3">
        <f t="shared" si="15"/>
        <v>4.2005433211289613E-2</v>
      </c>
      <c r="CQ3">
        <f t="shared" si="15"/>
        <v>4.4105704871854098E-2</v>
      </c>
      <c r="CR3">
        <f t="shared" si="15"/>
        <v>1.1754170348349116</v>
      </c>
      <c r="CT3" s="6"/>
      <c r="CU3" s="35">
        <f>Q3</f>
        <v>0.04</v>
      </c>
      <c r="CV3" s="35">
        <f>S3</f>
        <v>2.5000000000000001E-2</v>
      </c>
      <c r="CX3" s="6">
        <f t="shared" ref="CX3:CX21" si="16">CJ3-CU3</f>
        <v>2.5000000000000001E-2</v>
      </c>
      <c r="CY3" s="6">
        <f>+CK3-CV3</f>
        <v>0.04</v>
      </c>
      <c r="DA3" s="6">
        <f>+CX3/(1-$E3)</f>
        <v>2.9726516052318672E-2</v>
      </c>
      <c r="DB3" s="6">
        <f>+CY3/(1-$E3)</f>
        <v>4.7562425683709872E-2</v>
      </c>
    </row>
    <row r="4" spans="1:106" x14ac:dyDescent="0.25">
      <c r="A4">
        <f>+A3+1</f>
        <v>2</v>
      </c>
      <c r="B4" s="1" t="s">
        <v>61</v>
      </c>
      <c r="C4" s="1" t="s">
        <v>63</v>
      </c>
      <c r="D4" s="3">
        <v>4.4999999999999998E-2</v>
      </c>
      <c r="E4" s="3">
        <v>0.13800000000000001</v>
      </c>
      <c r="F4" s="2">
        <f t="shared" ref="F4:F21" si="17">+D4*(1-E4)</f>
        <v>3.8789999999999998E-2</v>
      </c>
      <c r="G4" s="4"/>
      <c r="H4" s="2">
        <f t="shared" ref="H4:I21" si="18">CX4</f>
        <v>3.0000000000000006E-2</v>
      </c>
      <c r="I4" s="2">
        <f t="shared" si="18"/>
        <v>4.0000000000000008E-2</v>
      </c>
      <c r="J4" s="6"/>
      <c r="K4" s="2">
        <f>+H4/(1-$E4)</f>
        <v>3.4802784222737825E-2</v>
      </c>
      <c r="L4" s="2">
        <f>+I4/(1-$E4)</f>
        <v>4.6403712296983771E-2</v>
      </c>
      <c r="M4" s="6"/>
      <c r="N4" s="2">
        <f t="shared" si="0"/>
        <v>6.0999999999999999E-2</v>
      </c>
      <c r="O4" s="2">
        <f t="shared" si="0"/>
        <v>0.05</v>
      </c>
      <c r="P4" s="2">
        <f t="shared" si="0"/>
        <v>4.2999999999999997E-2</v>
      </c>
      <c r="Q4" s="2">
        <f t="shared" si="0"/>
        <v>0.04</v>
      </c>
      <c r="R4" s="2">
        <f t="shared" si="0"/>
        <v>3.5000000000000003E-2</v>
      </c>
      <c r="S4" s="2">
        <f t="shared" si="0"/>
        <v>0.03</v>
      </c>
      <c r="T4" s="2" cm="1">
        <f t="array" ref="T4">+PRODUCT(1+N4:P4)^(0.333333333333333)-1</f>
        <v>5.130726066065372E-2</v>
      </c>
      <c r="U4" s="12" cm="1">
        <f t="array" ref="U4">+PRODUCT(1+N4:S4)^(1/6)-1</f>
        <v>4.3117706726426341E-2</v>
      </c>
      <c r="V4" s="6">
        <f t="shared" si="1"/>
        <v>0.18314863670206405</v>
      </c>
      <c r="W4" s="6">
        <f t="shared" ref="W4:W21" si="19">+IRR(BA4:BG4)</f>
        <v>7.9436337428257398E-2</v>
      </c>
      <c r="X4" s="6"/>
      <c r="Y4" s="6">
        <f t="shared" si="2"/>
        <v>0.19710959633562672</v>
      </c>
      <c r="Z4" s="6">
        <f t="shared" si="3"/>
        <v>8.1873708253619323E-2</v>
      </c>
      <c r="AA4" s="6"/>
      <c r="AB4" s="6">
        <f t="shared" si="4"/>
        <v>0.19064863670206406</v>
      </c>
      <c r="AC4" s="6">
        <f t="shared" ref="AC4:AC21" si="20">Z4+$BN4</f>
        <v>8.9373708253619316E-2</v>
      </c>
      <c r="AD4" s="6"/>
      <c r="AE4" s="6">
        <f t="shared" si="5"/>
        <v>0.18064863670206405</v>
      </c>
      <c r="AF4" s="6">
        <f t="shared" si="5"/>
        <v>7.9373708253619321E-2</v>
      </c>
      <c r="AH4" s="3">
        <v>6.0999999999999999E-2</v>
      </c>
      <c r="AI4" s="3">
        <v>0.05</v>
      </c>
      <c r="AJ4" s="3">
        <v>4.2999999999999997E-2</v>
      </c>
      <c r="AK4" s="3">
        <v>0.04</v>
      </c>
      <c r="AL4" s="3">
        <v>3.5000000000000003E-2</v>
      </c>
      <c r="AM4" s="3">
        <v>0.03</v>
      </c>
      <c r="AN4" s="2" cm="1">
        <f t="array" ref="AN4">+PRODUCT(1+AH4:AJ4)^(0.333333333333333)-1</f>
        <v>5.130726066065372E-2</v>
      </c>
      <c r="AO4" s="12" cm="1">
        <f t="array" ref="AO4">+PRODUCT(1+AH4:AM4)^(1/6)-1</f>
        <v>4.3117706726426341E-2</v>
      </c>
      <c r="AQ4" s="3">
        <v>-6.6060000000000008E-3</v>
      </c>
      <c r="AR4" s="3">
        <v>0</v>
      </c>
      <c r="AS4" s="40"/>
      <c r="AT4" s="42">
        <v>1.4999999999999999E-2</v>
      </c>
      <c r="AV4" s="15">
        <f t="shared" ref="AV4:AV21" si="21">-1</f>
        <v>-1</v>
      </c>
      <c r="AW4" s="15">
        <f t="shared" si="6"/>
        <v>4.1156189999999995E-2</v>
      </c>
      <c r="AX4" s="15">
        <f t="shared" si="7"/>
        <v>4.3213999499999996E-2</v>
      </c>
      <c r="AY4" s="15">
        <f t="shared" si="8"/>
        <v>1.5474789174284997</v>
      </c>
      <c r="AZ4" s="15"/>
      <c r="BA4" s="15">
        <f>+BA3</f>
        <v>-1</v>
      </c>
      <c r="BB4" s="15">
        <f t="shared" si="9"/>
        <v>4.1156189999999995E-2</v>
      </c>
      <c r="BC4" s="15">
        <f t="shared" si="10"/>
        <v>4.3213999499999996E-2</v>
      </c>
      <c r="BD4" s="15">
        <f t="shared" si="10"/>
        <v>4.5072201478499996E-2</v>
      </c>
      <c r="BE4" s="15">
        <f t="shared" si="10"/>
        <v>4.6875089537639997E-2</v>
      </c>
      <c r="BF4" s="15">
        <f t="shared" si="10"/>
        <v>4.851571767145739E-2</v>
      </c>
      <c r="BG4" s="15">
        <f t="shared" si="11"/>
        <v>1.2992509192416286</v>
      </c>
      <c r="BI4" s="25">
        <v>0.1</v>
      </c>
      <c r="BJ4" s="50">
        <f t="shared" ref="BJ4:BJ21" si="22">IF($D$25="Base",BK4,IF(D$25="High",BL4,IF(D$25="Low",BM4,"ERR")))</f>
        <v>5.7500000000000002E-2</v>
      </c>
      <c r="BK4" s="26">
        <v>5.7500000000000002E-2</v>
      </c>
      <c r="BL4" s="26">
        <v>6.0000000000000005E-2</v>
      </c>
      <c r="BM4" s="26">
        <v>5.5E-2</v>
      </c>
      <c r="BN4" s="26">
        <v>7.4999999999999997E-3</v>
      </c>
      <c r="BO4" s="26">
        <v>0.01</v>
      </c>
      <c r="BQ4">
        <f t="shared" si="12"/>
        <v>6</v>
      </c>
      <c r="BR4">
        <f t="shared" ref="BR4:BR21" si="23">+$A4</f>
        <v>2</v>
      </c>
      <c r="BS4" s="27">
        <v>0</v>
      </c>
      <c r="BT4" s="27">
        <v>0.3</v>
      </c>
      <c r="BU4" s="7"/>
      <c r="BX4">
        <f t="shared" si="13"/>
        <v>8</v>
      </c>
      <c r="BY4">
        <f t="shared" ref="BY4:BY21" si="24">+$A4</f>
        <v>2</v>
      </c>
      <c r="BZ4" s="27">
        <v>0</v>
      </c>
      <c r="CA4" s="27">
        <v>0.3</v>
      </c>
      <c r="CF4" s="50">
        <f t="shared" ref="CF4:CF21" si="25">IF($D$25="Base",CG4,IF($D$25="High",CH4,IF($D$25="Low",CI4,"ERR")))</f>
        <v>3.0000000000000006E-2</v>
      </c>
      <c r="CG4" s="42">
        <v>3.0000000000000006E-2</v>
      </c>
      <c r="CH4" s="42">
        <v>3.2500000000000008E-2</v>
      </c>
      <c r="CI4" s="42">
        <v>2.7500000000000007E-2</v>
      </c>
      <c r="CJ4" s="51">
        <f t="shared" ref="CJ4:CJ10" si="26">+$F$30+CF4</f>
        <v>7.0000000000000007E-2</v>
      </c>
      <c r="CK4" s="51">
        <f t="shared" ref="CK4:CK21" si="27">$I$30+CF4</f>
        <v>7.0000000000000007E-2</v>
      </c>
      <c r="CL4" s="39">
        <f t="shared" si="14"/>
        <v>1.049098416495698</v>
      </c>
      <c r="CM4">
        <f t="shared" si="15"/>
        <v>4.1156189999999995E-2</v>
      </c>
      <c r="CN4">
        <f t="shared" si="15"/>
        <v>4.3213999499999996E-2</v>
      </c>
      <c r="CO4">
        <f t="shared" si="15"/>
        <v>4.5072201478499996E-2</v>
      </c>
      <c r="CP4">
        <f t="shared" si="15"/>
        <v>4.6875089537639997E-2</v>
      </c>
      <c r="CQ4">
        <f t="shared" si="15"/>
        <v>4.851571767145739E-2</v>
      </c>
      <c r="CR4">
        <f t="shared" si="15"/>
        <v>1.2992509192416286</v>
      </c>
      <c r="CU4" s="35">
        <f t="shared" ref="CU4:CU21" si="28">Q4</f>
        <v>0.04</v>
      </c>
      <c r="CV4" s="35">
        <f t="shared" ref="CV4:CV21" si="29">S4</f>
        <v>0.03</v>
      </c>
      <c r="CX4" s="6">
        <f t="shared" si="16"/>
        <v>3.0000000000000006E-2</v>
      </c>
      <c r="CY4" s="6">
        <f t="shared" ref="CY4:CY21" si="30">+CK4-CV4</f>
        <v>4.0000000000000008E-2</v>
      </c>
      <c r="DA4" s="6">
        <f t="shared" ref="DA4:DB21" si="31">+CX4/(1-$E4)</f>
        <v>3.4802784222737825E-2</v>
      </c>
      <c r="DB4" s="6">
        <f t="shared" si="31"/>
        <v>4.6403712296983771E-2</v>
      </c>
    </row>
    <row r="5" spans="1:106" x14ac:dyDescent="0.25">
      <c r="A5">
        <f t="shared" ref="A5:A21" si="32">+A4+1</f>
        <v>3</v>
      </c>
      <c r="B5" s="1" t="s">
        <v>61</v>
      </c>
      <c r="C5" s="1" t="s">
        <v>64</v>
      </c>
      <c r="D5" s="3">
        <v>8.5000000000000006E-2</v>
      </c>
      <c r="E5" s="3">
        <v>0.29399999999999998</v>
      </c>
      <c r="F5" s="2">
        <f t="shared" si="17"/>
        <v>6.0010000000000001E-2</v>
      </c>
      <c r="G5" s="4"/>
      <c r="H5" s="2">
        <f t="shared" si="18"/>
        <v>6.9999999999999993E-2</v>
      </c>
      <c r="I5" s="2">
        <f t="shared" si="18"/>
        <v>5.4999999999999993E-2</v>
      </c>
      <c r="J5" s="6"/>
      <c r="K5" s="2">
        <f t="shared" ref="K5:L21" si="33">+H5/(1-$E5)</f>
        <v>9.9150141643059492E-2</v>
      </c>
      <c r="L5" s="2">
        <f t="shared" si="33"/>
        <v>7.7903682719546744E-2</v>
      </c>
      <c r="M5" s="6"/>
      <c r="N5" s="2">
        <f t="shared" si="0"/>
        <v>-1.7999999999999995E-2</v>
      </c>
      <c r="O5" s="2">
        <f t="shared" si="0"/>
        <v>-1.1000000000000003E-2</v>
      </c>
      <c r="P5" s="2">
        <f t="shared" si="0"/>
        <v>-8.0000000000000002E-3</v>
      </c>
      <c r="Q5" s="2">
        <f t="shared" si="0"/>
        <v>5.000000000000001E-3</v>
      </c>
      <c r="R5" s="2">
        <f t="shared" si="0"/>
        <v>0.01</v>
      </c>
      <c r="S5" s="2">
        <f t="shared" si="0"/>
        <v>0.02</v>
      </c>
      <c r="T5" s="2" cm="1">
        <f t="array" ref="T5">+PRODUCT(1+N5:P5)^(0.333333333333333)-1</f>
        <v>-1.2342231990260966E-2</v>
      </c>
      <c r="U5" s="12" cm="1">
        <f t="array" ref="U5">+PRODUCT(1+N5:S5)^(1/6)-1</f>
        <v>-4.1934372149576848E-4</v>
      </c>
      <c r="V5" s="6">
        <f t="shared" si="1"/>
        <v>3.3989984985627331E-4</v>
      </c>
      <c r="W5" s="6">
        <f t="shared" si="19"/>
        <v>7.0903742789223845E-2</v>
      </c>
      <c r="X5" s="6"/>
      <c r="Y5" s="6">
        <f t="shared" si="2"/>
        <v>-1.707512518767966E-2</v>
      </c>
      <c r="Z5" s="6">
        <f t="shared" si="3"/>
        <v>7.1129678486529804E-2</v>
      </c>
      <c r="AA5" s="6"/>
      <c r="AB5" s="6">
        <f t="shared" si="4"/>
        <v>3.3989984985627331E-4</v>
      </c>
      <c r="AC5" s="6">
        <f t="shared" si="20"/>
        <v>7.1129678486529804E-2</v>
      </c>
      <c r="AD5" s="6"/>
      <c r="AE5" s="6">
        <f t="shared" si="5"/>
        <v>-9.6601001501437269E-3</v>
      </c>
      <c r="AF5" s="6">
        <f t="shared" si="5"/>
        <v>6.1129678486529802E-2</v>
      </c>
      <c r="AH5" s="3">
        <v>-1.7999999999999995E-2</v>
      </c>
      <c r="AI5" s="3">
        <v>-1.1000000000000003E-2</v>
      </c>
      <c r="AJ5" s="3">
        <v>-8.0000000000000002E-3</v>
      </c>
      <c r="AK5" s="3">
        <v>5.000000000000001E-3</v>
      </c>
      <c r="AL5" s="3">
        <v>0.01</v>
      </c>
      <c r="AM5" s="3">
        <v>0.02</v>
      </c>
      <c r="AN5" s="2" cm="1">
        <f t="array" ref="AN5">+PRODUCT(1+AH5:AJ5)^(0.333333333333333)-1</f>
        <v>-1.2342231990260966E-2</v>
      </c>
      <c r="AO5" s="12" cm="1">
        <f t="array" ref="AO5">+PRODUCT(1+AH5:AM5)^(1/6)-1</f>
        <v>-4.1934372149576848E-4</v>
      </c>
      <c r="AQ5" s="3">
        <v>9.5360000000000028E-3</v>
      </c>
      <c r="AR5" s="3">
        <v>9.5360000000000028E-3</v>
      </c>
      <c r="AS5" s="40"/>
      <c r="AT5" s="42">
        <v>0.03</v>
      </c>
      <c r="AV5" s="15">
        <f t="shared" si="21"/>
        <v>-1</v>
      </c>
      <c r="AW5" s="15">
        <f t="shared" si="6"/>
        <v>5.8929820000000001E-2</v>
      </c>
      <c r="AX5" s="15">
        <f t="shared" si="7"/>
        <v>5.8281591979999998E-2</v>
      </c>
      <c r="AY5" s="15">
        <f t="shared" si="8"/>
        <v>0.88374875701787436</v>
      </c>
      <c r="AZ5" s="15"/>
      <c r="BA5" s="15">
        <f t="shared" ref="BA5:BA21" si="34">+BA4</f>
        <v>-1</v>
      </c>
      <c r="BB5" s="15">
        <f t="shared" si="9"/>
        <v>5.8929820000000001E-2</v>
      </c>
      <c r="BC5" s="15">
        <f t="shared" si="10"/>
        <v>5.8281591979999998E-2</v>
      </c>
      <c r="BD5" s="15">
        <f t="shared" si="10"/>
        <v>5.7815339244159998E-2</v>
      </c>
      <c r="BE5" s="15">
        <f t="shared" si="10"/>
        <v>5.8104415940380794E-2</v>
      </c>
      <c r="BF5" s="15">
        <f t="shared" si="10"/>
        <v>5.8685460099784599E-2</v>
      </c>
      <c r="BG5" s="15">
        <f t="shared" si="11"/>
        <v>1.1482077020614221</v>
      </c>
      <c r="BI5" s="25">
        <v>0.2</v>
      </c>
      <c r="BJ5" s="50">
        <f t="shared" si="22"/>
        <v>7.0000000000000007E-2</v>
      </c>
      <c r="BK5" s="26">
        <v>7.0000000000000007E-2</v>
      </c>
      <c r="BL5" s="26">
        <v>7.2500000000000009E-2</v>
      </c>
      <c r="BM5" s="26">
        <v>6.7500000000000004E-2</v>
      </c>
      <c r="BN5" s="26">
        <v>0</v>
      </c>
      <c r="BO5" s="26">
        <v>0.01</v>
      </c>
      <c r="BQ5">
        <f t="shared" si="12"/>
        <v>19</v>
      </c>
      <c r="BR5">
        <f t="shared" si="23"/>
        <v>3</v>
      </c>
      <c r="BS5" s="27">
        <v>0</v>
      </c>
      <c r="BT5" s="27">
        <v>0.15</v>
      </c>
      <c r="BU5" s="7"/>
      <c r="BX5">
        <f t="shared" si="13"/>
        <v>13</v>
      </c>
      <c r="BY5">
        <f t="shared" si="24"/>
        <v>3</v>
      </c>
      <c r="BZ5" s="27">
        <v>0</v>
      </c>
      <c r="CA5" s="27">
        <v>0.15</v>
      </c>
      <c r="CF5" s="50">
        <f t="shared" si="25"/>
        <v>3.4999999999999996E-2</v>
      </c>
      <c r="CG5" s="42">
        <v>3.4999999999999996E-2</v>
      </c>
      <c r="CH5" s="42">
        <v>3.7499999999999999E-2</v>
      </c>
      <c r="CI5" s="42">
        <v>3.2499999999999994E-2</v>
      </c>
      <c r="CJ5" s="51">
        <f t="shared" si="26"/>
        <v>7.4999999999999997E-2</v>
      </c>
      <c r="CK5" s="51">
        <f t="shared" si="27"/>
        <v>7.4999999999999997E-2</v>
      </c>
      <c r="CL5" s="39">
        <f t="shared" si="14"/>
        <v>0.9801713552518625</v>
      </c>
      <c r="CM5">
        <f t="shared" si="15"/>
        <v>5.8929820000000001E-2</v>
      </c>
      <c r="CN5">
        <f t="shared" si="15"/>
        <v>5.8281591979999998E-2</v>
      </c>
      <c r="CO5">
        <f t="shared" si="15"/>
        <v>5.7815339244159998E-2</v>
      </c>
      <c r="CP5">
        <f t="shared" si="15"/>
        <v>5.8104415940380794E-2</v>
      </c>
      <c r="CQ5">
        <f t="shared" si="15"/>
        <v>5.8685460099784599E-2</v>
      </c>
      <c r="CR5">
        <f t="shared" si="15"/>
        <v>1.1482077020614221</v>
      </c>
      <c r="CU5" s="35">
        <f t="shared" si="28"/>
        <v>5.000000000000001E-3</v>
      </c>
      <c r="CV5" s="35">
        <f t="shared" si="29"/>
        <v>0.02</v>
      </c>
      <c r="CX5" s="6">
        <f t="shared" si="16"/>
        <v>6.9999999999999993E-2</v>
      </c>
      <c r="CY5" s="6">
        <f t="shared" si="30"/>
        <v>5.4999999999999993E-2</v>
      </c>
      <c r="DA5" s="6">
        <f t="shared" si="31"/>
        <v>9.9150141643059492E-2</v>
      </c>
      <c r="DB5" s="6">
        <f t="shared" si="31"/>
        <v>7.7903682719546744E-2</v>
      </c>
    </row>
    <row r="6" spans="1:106" x14ac:dyDescent="0.25">
      <c r="A6">
        <f t="shared" si="32"/>
        <v>4</v>
      </c>
      <c r="B6" s="1" t="s">
        <v>61</v>
      </c>
      <c r="C6" s="1" t="s">
        <v>65</v>
      </c>
      <c r="D6" s="3">
        <v>0.06</v>
      </c>
      <c r="E6" s="3">
        <v>0.188</v>
      </c>
      <c r="F6" s="2">
        <f t="shared" si="17"/>
        <v>4.8719999999999999E-2</v>
      </c>
      <c r="G6" s="4"/>
      <c r="H6" s="2">
        <f t="shared" si="18"/>
        <v>0.05</v>
      </c>
      <c r="I6" s="2">
        <f t="shared" si="18"/>
        <v>4.5000000000000005E-2</v>
      </c>
      <c r="J6" s="6"/>
      <c r="K6" s="2">
        <f t="shared" si="33"/>
        <v>6.1576354679802957E-2</v>
      </c>
      <c r="L6" s="2">
        <f t="shared" si="33"/>
        <v>5.5418719211822662E-2</v>
      </c>
      <c r="M6" s="6"/>
      <c r="N6" s="2">
        <f t="shared" si="0"/>
        <v>0.01</v>
      </c>
      <c r="O6" s="2">
        <f t="shared" si="0"/>
        <v>0.02</v>
      </c>
      <c r="P6" s="2">
        <f t="shared" si="0"/>
        <v>0.02</v>
      </c>
      <c r="Q6" s="2">
        <f t="shared" si="0"/>
        <v>0.02</v>
      </c>
      <c r="R6" s="2">
        <f t="shared" si="0"/>
        <v>0.02</v>
      </c>
      <c r="S6" s="2">
        <f t="shared" si="0"/>
        <v>2.5000000000000001E-2</v>
      </c>
      <c r="T6" s="2" cm="1">
        <f t="array" ref="T6">+PRODUCT(1+N6:P6)^(0.333333333333333)-1</f>
        <v>1.6655713698476626E-2</v>
      </c>
      <c r="U6" s="12" cm="1">
        <f t="array" ref="U6">+PRODUCT(1+N6:S6)^(1/6)-1</f>
        <v>1.9156755856084562E-2</v>
      </c>
      <c r="V6" s="6">
        <f t="shared" si="1"/>
        <v>5.768611397745782E-2</v>
      </c>
      <c r="W6" s="6">
        <f t="shared" si="19"/>
        <v>8.056425239927778E-2</v>
      </c>
      <c r="X6" s="6"/>
      <c r="Y6" s="6">
        <f t="shared" si="2"/>
        <v>5.7277781149950378E-2</v>
      </c>
      <c r="Z6" s="6">
        <f t="shared" si="3"/>
        <v>8.4193238116797395E-2</v>
      </c>
      <c r="AA6" s="6"/>
      <c r="AB6" s="6">
        <f t="shared" si="4"/>
        <v>6.0186113977457822E-2</v>
      </c>
      <c r="AC6" s="6">
        <f t="shared" si="20"/>
        <v>8.6693238116797397E-2</v>
      </c>
      <c r="AD6" s="6"/>
      <c r="AE6" s="6">
        <f t="shared" si="5"/>
        <v>5.018611397745782E-2</v>
      </c>
      <c r="AF6" s="6">
        <f t="shared" si="5"/>
        <v>7.6693238116797402E-2</v>
      </c>
      <c r="AH6" s="3">
        <v>0.01</v>
      </c>
      <c r="AI6" s="3">
        <v>0.02</v>
      </c>
      <c r="AJ6" s="3">
        <v>0.02</v>
      </c>
      <c r="AK6" s="3">
        <v>0.02</v>
      </c>
      <c r="AL6" s="3">
        <v>0.02</v>
      </c>
      <c r="AM6" s="3">
        <v>2.5000000000000001E-2</v>
      </c>
      <c r="AN6" s="2" cm="1">
        <f t="array" ref="AN6">+PRODUCT(1+AH6:AJ6)^(0.333333333333333)-1</f>
        <v>1.6655713698476626E-2</v>
      </c>
      <c r="AO6" s="12" cm="1">
        <f t="array" ref="AO6">+PRODUCT(1+AH6:AM6)^(1/6)-1</f>
        <v>1.9156755856084562E-2</v>
      </c>
      <c r="AQ6" s="3">
        <v>4.6600000000000044E-3</v>
      </c>
      <c r="AR6" s="3">
        <v>4.6600000000000044E-3</v>
      </c>
      <c r="AS6" s="40"/>
      <c r="AT6" s="42">
        <v>0.02</v>
      </c>
      <c r="AV6" s="15">
        <f t="shared" si="21"/>
        <v>-1</v>
      </c>
      <c r="AW6" s="15">
        <f t="shared" si="6"/>
        <v>4.92072E-2</v>
      </c>
      <c r="AX6" s="15">
        <f t="shared" si="7"/>
        <v>5.0191343999999999E-2</v>
      </c>
      <c r="AY6" s="15">
        <f t="shared" si="8"/>
        <v>1.07509858848</v>
      </c>
      <c r="AZ6" s="15"/>
      <c r="BA6" s="15">
        <f t="shared" si="34"/>
        <v>-1</v>
      </c>
      <c r="BB6" s="15">
        <f t="shared" si="9"/>
        <v>4.92072E-2</v>
      </c>
      <c r="BC6" s="15">
        <f t="shared" si="10"/>
        <v>5.0191343999999999E-2</v>
      </c>
      <c r="BD6" s="15">
        <f t="shared" si="10"/>
        <v>5.1195170880000002E-2</v>
      </c>
      <c r="BE6" s="15">
        <f t="shared" si="10"/>
        <v>5.2219074297600004E-2</v>
      </c>
      <c r="BF6" s="15">
        <f t="shared" si="10"/>
        <v>5.3263455783552002E-2</v>
      </c>
      <c r="BG6" s="15">
        <f t="shared" si="11"/>
        <v>1.2678182016923805</v>
      </c>
      <c r="BI6" s="25">
        <v>0.15</v>
      </c>
      <c r="BJ6" s="50">
        <f t="shared" si="22"/>
        <v>0.06</v>
      </c>
      <c r="BK6" s="26">
        <v>0.06</v>
      </c>
      <c r="BL6" s="26">
        <v>6.25E-2</v>
      </c>
      <c r="BM6" s="26">
        <v>5.7499999999999996E-2</v>
      </c>
      <c r="BN6" s="26">
        <v>2.5000000000000001E-3</v>
      </c>
      <c r="BO6" s="26">
        <v>0.01</v>
      </c>
      <c r="BQ6">
        <f t="shared" si="12"/>
        <v>14</v>
      </c>
      <c r="BR6">
        <f t="shared" si="23"/>
        <v>4</v>
      </c>
      <c r="BS6" s="27">
        <v>0</v>
      </c>
      <c r="BT6" s="27">
        <v>0.15</v>
      </c>
      <c r="BU6" s="7"/>
      <c r="BX6">
        <f t="shared" si="13"/>
        <v>11</v>
      </c>
      <c r="BY6">
        <f t="shared" si="24"/>
        <v>4</v>
      </c>
      <c r="BZ6" s="27">
        <v>0</v>
      </c>
      <c r="CA6" s="27">
        <v>0.15</v>
      </c>
      <c r="CF6" s="50">
        <f t="shared" si="25"/>
        <v>3.0000000000000006E-2</v>
      </c>
      <c r="CG6" s="42">
        <v>3.0000000000000006E-2</v>
      </c>
      <c r="CH6" s="42">
        <v>3.2500000000000008E-2</v>
      </c>
      <c r="CI6" s="42">
        <v>2.7500000000000007E-2</v>
      </c>
      <c r="CJ6" s="51">
        <f t="shared" si="26"/>
        <v>7.0000000000000007E-2</v>
      </c>
      <c r="CK6" s="51">
        <f t="shared" si="27"/>
        <v>7.0000000000000007E-2</v>
      </c>
      <c r="CL6" s="39">
        <f t="shared" si="14"/>
        <v>1.0542321998684268</v>
      </c>
      <c r="CM6">
        <f t="shared" si="15"/>
        <v>4.92072E-2</v>
      </c>
      <c r="CN6">
        <f t="shared" si="15"/>
        <v>5.0191343999999999E-2</v>
      </c>
      <c r="CO6">
        <f t="shared" si="15"/>
        <v>5.1195170880000002E-2</v>
      </c>
      <c r="CP6">
        <f t="shared" si="15"/>
        <v>5.2219074297600004E-2</v>
      </c>
      <c r="CQ6">
        <f t="shared" si="15"/>
        <v>5.3263455783552002E-2</v>
      </c>
      <c r="CR6">
        <f t="shared" si="15"/>
        <v>1.2678182016923805</v>
      </c>
      <c r="CU6" s="35">
        <f t="shared" si="28"/>
        <v>0.02</v>
      </c>
      <c r="CV6" s="35">
        <f t="shared" si="29"/>
        <v>2.5000000000000001E-2</v>
      </c>
      <c r="CX6" s="6">
        <f t="shared" si="16"/>
        <v>0.05</v>
      </c>
      <c r="CY6" s="6">
        <f t="shared" si="30"/>
        <v>4.5000000000000005E-2</v>
      </c>
      <c r="DA6" s="6">
        <f t="shared" si="31"/>
        <v>6.1576354679802957E-2</v>
      </c>
      <c r="DB6" s="6">
        <f t="shared" si="31"/>
        <v>5.5418719211822662E-2</v>
      </c>
    </row>
    <row r="7" spans="1:106" x14ac:dyDescent="0.25">
      <c r="A7">
        <f t="shared" si="32"/>
        <v>5</v>
      </c>
      <c r="B7" s="1" t="s">
        <v>61</v>
      </c>
      <c r="C7" s="1" t="s">
        <v>66</v>
      </c>
      <c r="D7" s="3">
        <v>0.05</v>
      </c>
      <c r="E7" s="3">
        <v>0.159</v>
      </c>
      <c r="F7" s="2">
        <f t="shared" si="17"/>
        <v>4.2050000000000004E-2</v>
      </c>
      <c r="G7" s="4"/>
      <c r="H7" s="2">
        <f t="shared" si="18"/>
        <v>2.5000000000000001E-2</v>
      </c>
      <c r="I7" s="2">
        <f t="shared" si="18"/>
        <v>0.04</v>
      </c>
      <c r="J7" s="6"/>
      <c r="K7" s="2">
        <f t="shared" si="33"/>
        <v>2.9726516052318672E-2</v>
      </c>
      <c r="L7" s="2">
        <f t="shared" si="33"/>
        <v>4.7562425683709872E-2</v>
      </c>
      <c r="M7" s="6"/>
      <c r="N7" s="2">
        <f t="shared" si="0"/>
        <v>-1.6E-2</v>
      </c>
      <c r="O7" s="2">
        <f t="shared" si="0"/>
        <v>5.9999999999999984E-3</v>
      </c>
      <c r="P7" s="2">
        <f t="shared" si="0"/>
        <v>2.3E-2</v>
      </c>
      <c r="Q7" s="2">
        <f t="shared" si="0"/>
        <v>0.04</v>
      </c>
      <c r="R7" s="2">
        <f t="shared" si="0"/>
        <v>0.05</v>
      </c>
      <c r="S7" s="2">
        <f t="shared" si="0"/>
        <v>2.5000000000000001E-2</v>
      </c>
      <c r="T7" s="2" cm="1">
        <f t="array" ref="T7">+PRODUCT(1+N7:P7)^(0.333333333333333)-1</f>
        <v>4.206213627813149E-3</v>
      </c>
      <c r="U7" s="12" cm="1">
        <f t="array" ref="U7">+PRODUCT(1+N7:S7)^(1/6)-1</f>
        <v>2.1102178545400418E-2</v>
      </c>
      <c r="V7" s="6">
        <f t="shared" si="1"/>
        <v>0.22973344841812615</v>
      </c>
      <c r="W7" s="6">
        <f t="shared" si="19"/>
        <v>7.0486562588992774E-2</v>
      </c>
      <c r="X7" s="6"/>
      <c r="Y7" s="6">
        <f t="shared" si="2"/>
        <v>0.35966394459320372</v>
      </c>
      <c r="Z7" s="6">
        <f t="shared" si="3"/>
        <v>8.0283443138583807E-2</v>
      </c>
      <c r="AA7" s="6"/>
      <c r="AB7" s="6">
        <f t="shared" si="4"/>
        <v>0.23973344841812616</v>
      </c>
      <c r="AC7" s="6">
        <f t="shared" si="20"/>
        <v>9.0283443138583802E-2</v>
      </c>
      <c r="AD7" s="6"/>
      <c r="AE7" s="6">
        <f t="shared" si="5"/>
        <v>0.22723344841812615</v>
      </c>
      <c r="AF7" s="6">
        <f t="shared" si="5"/>
        <v>7.7783443138583805E-2</v>
      </c>
      <c r="AH7" s="3">
        <v>-1.6E-2</v>
      </c>
      <c r="AI7" s="3">
        <v>5.9999999999999984E-3</v>
      </c>
      <c r="AJ7" s="3">
        <v>2.3E-2</v>
      </c>
      <c r="AK7" s="3">
        <v>0.04</v>
      </c>
      <c r="AL7" s="3">
        <v>0.05</v>
      </c>
      <c r="AM7" s="3">
        <v>2.5000000000000001E-2</v>
      </c>
      <c r="AN7" s="2" cm="1">
        <f t="array" ref="AN7">+PRODUCT(1+AH7:AJ7)^(0.333333333333333)-1</f>
        <v>4.206213627813149E-3</v>
      </c>
      <c r="AO7" s="12" cm="1">
        <f t="array" ref="AO7">+PRODUCT(1+AH7:AM7)^(1/6)-1</f>
        <v>2.1102178545400418E-2</v>
      </c>
      <c r="AQ7" s="3">
        <v>-1.6320000000000015E-3</v>
      </c>
      <c r="AR7" s="3">
        <v>-5.0000000000000001E-3</v>
      </c>
      <c r="AS7" s="40"/>
      <c r="AT7" s="42">
        <v>1.2500000000000001E-2</v>
      </c>
      <c r="AV7" s="15">
        <f t="shared" si="21"/>
        <v>-1</v>
      </c>
      <c r="AW7" s="15">
        <f t="shared" si="6"/>
        <v>4.1377200000000003E-2</v>
      </c>
      <c r="AX7" s="15">
        <f t="shared" si="7"/>
        <v>4.1625463200000004E-2</v>
      </c>
      <c r="AY7" s="15">
        <f t="shared" si="8"/>
        <v>1.7458968029976001</v>
      </c>
      <c r="AZ7" s="15"/>
      <c r="BA7" s="15">
        <f t="shared" si="34"/>
        <v>-1</v>
      </c>
      <c r="BB7" s="15">
        <f t="shared" si="9"/>
        <v>4.1377200000000003E-2</v>
      </c>
      <c r="BC7" s="15">
        <f t="shared" si="10"/>
        <v>4.1625463200000004E-2</v>
      </c>
      <c r="BD7" s="15">
        <f t="shared" si="10"/>
        <v>4.2582848853600003E-2</v>
      </c>
      <c r="BE7" s="15">
        <f t="shared" si="10"/>
        <v>4.4286162807744008E-2</v>
      </c>
      <c r="BF7" s="15">
        <f t="shared" si="10"/>
        <v>4.6500470948131208E-2</v>
      </c>
      <c r="BG7" s="15">
        <f t="shared" si="11"/>
        <v>1.2392375507676965</v>
      </c>
      <c r="BI7" s="25">
        <v>0.43</v>
      </c>
      <c r="BJ7" s="50">
        <f t="shared" si="22"/>
        <v>5.7500000000000002E-2</v>
      </c>
      <c r="BK7" s="26">
        <v>5.7500000000000002E-2</v>
      </c>
      <c r="BL7" s="26">
        <v>6.0000000000000005E-2</v>
      </c>
      <c r="BM7" s="26">
        <v>5.5E-2</v>
      </c>
      <c r="BN7" s="26">
        <v>0.01</v>
      </c>
      <c r="BO7" s="26">
        <v>1.2500000000000001E-2</v>
      </c>
      <c r="BQ7">
        <f t="shared" si="12"/>
        <v>3</v>
      </c>
      <c r="BR7">
        <f t="shared" si="23"/>
        <v>5</v>
      </c>
      <c r="BS7" s="27">
        <v>0.15</v>
      </c>
      <c r="BT7" s="27">
        <v>0.3</v>
      </c>
      <c r="BU7" s="7"/>
      <c r="BX7">
        <f t="shared" si="13"/>
        <v>9</v>
      </c>
      <c r="BY7">
        <f t="shared" si="24"/>
        <v>5</v>
      </c>
      <c r="BZ7" s="27">
        <v>0.2</v>
      </c>
      <c r="CA7" s="27">
        <v>0.3</v>
      </c>
      <c r="CF7" s="50">
        <f t="shared" si="25"/>
        <v>2.5000000000000001E-2</v>
      </c>
      <c r="CG7" s="42">
        <v>2.5000000000000001E-2</v>
      </c>
      <c r="CH7" s="42">
        <v>2.75E-2</v>
      </c>
      <c r="CI7" s="42">
        <v>2.2500000000000003E-2</v>
      </c>
      <c r="CJ7" s="51">
        <f t="shared" si="26"/>
        <v>6.5000000000000002E-2</v>
      </c>
      <c r="CK7" s="51">
        <f t="shared" si="27"/>
        <v>6.5000000000000002E-2</v>
      </c>
      <c r="CL7" s="39">
        <f t="shared" si="14"/>
        <v>1.0284597141955005</v>
      </c>
      <c r="CM7">
        <f t="shared" si="15"/>
        <v>4.1377200000000003E-2</v>
      </c>
      <c r="CN7">
        <f t="shared" si="15"/>
        <v>4.1625463200000004E-2</v>
      </c>
      <c r="CO7">
        <f t="shared" si="15"/>
        <v>4.2582848853600003E-2</v>
      </c>
      <c r="CP7">
        <f t="shared" si="15"/>
        <v>4.4286162807744008E-2</v>
      </c>
      <c r="CQ7">
        <f t="shared" si="15"/>
        <v>4.6500470948131208E-2</v>
      </c>
      <c r="CR7">
        <f t="shared" si="15"/>
        <v>1.2392375507676965</v>
      </c>
      <c r="CU7" s="35">
        <f t="shared" si="28"/>
        <v>0.04</v>
      </c>
      <c r="CV7" s="35">
        <f t="shared" si="29"/>
        <v>2.5000000000000001E-2</v>
      </c>
      <c r="CX7" s="6">
        <f t="shared" si="16"/>
        <v>2.5000000000000001E-2</v>
      </c>
      <c r="CY7" s="6">
        <f t="shared" si="30"/>
        <v>0.04</v>
      </c>
      <c r="DA7" s="6">
        <f t="shared" si="31"/>
        <v>2.9726516052318672E-2</v>
      </c>
      <c r="DB7" s="6">
        <f t="shared" si="31"/>
        <v>4.7562425683709872E-2</v>
      </c>
    </row>
    <row r="8" spans="1:106" x14ac:dyDescent="0.25">
      <c r="A8">
        <f t="shared" si="32"/>
        <v>6</v>
      </c>
      <c r="B8" s="1" t="s">
        <v>61</v>
      </c>
      <c r="C8" s="1" t="s">
        <v>67</v>
      </c>
      <c r="D8" s="3">
        <v>4.4999999999999998E-2</v>
      </c>
      <c r="E8" s="3">
        <v>0.13800000000000001</v>
      </c>
      <c r="F8" s="2">
        <f t="shared" si="17"/>
        <v>3.8789999999999998E-2</v>
      </c>
      <c r="G8" s="4"/>
      <c r="H8" s="2">
        <f t="shared" si="18"/>
        <v>3.5000000000000003E-2</v>
      </c>
      <c r="I8" s="2">
        <f t="shared" si="18"/>
        <v>4.5000000000000005E-2</v>
      </c>
      <c r="J8" s="6"/>
      <c r="K8" s="2">
        <f t="shared" si="33"/>
        <v>4.0603248259860794E-2</v>
      </c>
      <c r="L8" s="2">
        <f t="shared" si="33"/>
        <v>5.2204176334106733E-2</v>
      </c>
      <c r="M8" s="6"/>
      <c r="N8" s="2">
        <f t="shared" si="0"/>
        <v>6.6000000000000003E-2</v>
      </c>
      <c r="O8" s="2">
        <f t="shared" si="0"/>
        <v>5.8999999999999997E-2</v>
      </c>
      <c r="P8" s="2">
        <f t="shared" si="0"/>
        <v>0.05</v>
      </c>
      <c r="Q8" s="2">
        <f t="shared" si="0"/>
        <v>3.5000000000000003E-2</v>
      </c>
      <c r="R8" s="2">
        <f t="shared" si="0"/>
        <v>0.03</v>
      </c>
      <c r="S8" s="2">
        <f t="shared" si="0"/>
        <v>2.5000000000000001E-2</v>
      </c>
      <c r="T8" s="2" cm="1">
        <f t="array" ref="T8">+PRODUCT(1+N8:P8)^(0.333333333333333)-1</f>
        <v>5.8313057802124924E-2</v>
      </c>
      <c r="U8" s="12" cm="1">
        <f t="array" ref="U8">+PRODUCT(1+N8:S8)^(1/6)-1</f>
        <v>4.4056457796009418E-2</v>
      </c>
      <c r="V8" s="6">
        <f t="shared" si="1"/>
        <v>0.13513616875475631</v>
      </c>
      <c r="W8" s="6">
        <f t="shared" si="19"/>
        <v>6.2603802431469679E-2</v>
      </c>
      <c r="X8" s="6"/>
      <c r="Y8" s="6">
        <f t="shared" si="2"/>
        <v>0.14473165028624305</v>
      </c>
      <c r="Z8" s="6">
        <f t="shared" si="3"/>
        <v>6.3234609473561437E-2</v>
      </c>
      <c r="AA8" s="6"/>
      <c r="AB8" s="6">
        <f t="shared" si="4"/>
        <v>0.14263616875475632</v>
      </c>
      <c r="AC8" s="6">
        <f t="shared" si="20"/>
        <v>7.0734609473561444E-2</v>
      </c>
      <c r="AD8" s="6"/>
      <c r="AE8" s="6">
        <f t="shared" si="5"/>
        <v>0.13013616875475631</v>
      </c>
      <c r="AF8" s="6">
        <f t="shared" si="5"/>
        <v>5.8234609473561447E-2</v>
      </c>
      <c r="AH8" s="3">
        <v>6.6000000000000003E-2</v>
      </c>
      <c r="AI8" s="3">
        <v>5.8999999999999997E-2</v>
      </c>
      <c r="AJ8" s="3">
        <v>0.05</v>
      </c>
      <c r="AK8" s="3">
        <v>3.5000000000000003E-2</v>
      </c>
      <c r="AL8" s="3">
        <v>0.03</v>
      </c>
      <c r="AM8" s="3">
        <v>2.5000000000000001E-2</v>
      </c>
      <c r="AN8" s="2" cm="1">
        <f t="array" ref="AN8">+PRODUCT(1+AH8:AJ8)^(0.333333333333333)-1</f>
        <v>5.8313057802124924E-2</v>
      </c>
      <c r="AO8" s="12" cm="1">
        <f t="array" ref="AO8">+PRODUCT(1+AH8:AM8)^(1/6)-1</f>
        <v>4.4056457796009418E-2</v>
      </c>
      <c r="AQ8" s="3">
        <v>-3.1580000000000002E-3</v>
      </c>
      <c r="AR8" s="3">
        <v>0</v>
      </c>
      <c r="AS8" s="40"/>
      <c r="AT8" s="42">
        <v>1.7500000000000002E-2</v>
      </c>
      <c r="AV8" s="15">
        <f t="shared" si="21"/>
        <v>-1</v>
      </c>
      <c r="AW8" s="15">
        <f t="shared" si="6"/>
        <v>4.1350140000000001E-2</v>
      </c>
      <c r="AX8" s="15">
        <f t="shared" si="7"/>
        <v>4.3789798259999999E-2</v>
      </c>
      <c r="AY8" s="15">
        <f t="shared" si="8"/>
        <v>1.3596732359729999</v>
      </c>
      <c r="AZ8" s="15"/>
      <c r="BA8" s="15">
        <f t="shared" si="34"/>
        <v>-1</v>
      </c>
      <c r="BB8" s="15">
        <f t="shared" si="9"/>
        <v>4.1350140000000001E-2</v>
      </c>
      <c r="BC8" s="15">
        <f t="shared" si="10"/>
        <v>4.3789798259999999E-2</v>
      </c>
      <c r="BD8" s="15">
        <f t="shared" si="10"/>
        <v>4.5979288173000003E-2</v>
      </c>
      <c r="BE8" s="15">
        <f t="shared" si="10"/>
        <v>4.7588563259055E-2</v>
      </c>
      <c r="BF8" s="15">
        <f t="shared" si="10"/>
        <v>4.9016220156826648E-2</v>
      </c>
      <c r="BG8" s="15">
        <f t="shared" si="11"/>
        <v>1.1667221958995764</v>
      </c>
      <c r="BI8" s="25">
        <v>0.11</v>
      </c>
      <c r="BJ8" s="50">
        <f t="shared" si="22"/>
        <v>5.7500000000000002E-2</v>
      </c>
      <c r="BK8" s="26">
        <v>5.7500000000000002E-2</v>
      </c>
      <c r="BL8" s="26">
        <v>6.0000000000000005E-2</v>
      </c>
      <c r="BM8" s="26">
        <v>5.5E-2</v>
      </c>
      <c r="BN8" s="26">
        <v>7.4999999999999997E-3</v>
      </c>
      <c r="BO8" s="26">
        <v>1.2500000000000001E-2</v>
      </c>
      <c r="BQ8">
        <f t="shared" si="12"/>
        <v>10</v>
      </c>
      <c r="BR8">
        <f t="shared" si="23"/>
        <v>6</v>
      </c>
      <c r="BS8" s="27">
        <v>0.15</v>
      </c>
      <c r="BT8" s="27">
        <v>0.3</v>
      </c>
      <c r="BU8" s="7"/>
      <c r="BX8">
        <f t="shared" si="13"/>
        <v>14</v>
      </c>
      <c r="BY8">
        <f t="shared" si="24"/>
        <v>6</v>
      </c>
      <c r="BZ8" s="27">
        <v>0.2</v>
      </c>
      <c r="CA8" s="27">
        <v>0.3</v>
      </c>
      <c r="CF8" s="50">
        <f t="shared" si="25"/>
        <v>3.0000000000000006E-2</v>
      </c>
      <c r="CG8" s="42">
        <v>3.0000000000000006E-2</v>
      </c>
      <c r="CH8" s="42">
        <v>3.2500000000000008E-2</v>
      </c>
      <c r="CI8" s="42">
        <v>2.7500000000000007E-2</v>
      </c>
      <c r="CJ8" s="51">
        <f t="shared" si="26"/>
        <v>7.0000000000000007E-2</v>
      </c>
      <c r="CK8" s="51">
        <f t="shared" si="27"/>
        <v>7.0000000000000007E-2</v>
      </c>
      <c r="CL8" s="39">
        <f t="shared" si="14"/>
        <v>0.9631147288670413</v>
      </c>
      <c r="CM8">
        <f t="shared" si="15"/>
        <v>4.1350140000000001E-2</v>
      </c>
      <c r="CN8">
        <f t="shared" si="15"/>
        <v>4.3789798259999999E-2</v>
      </c>
      <c r="CO8">
        <f t="shared" si="15"/>
        <v>4.5979288173000003E-2</v>
      </c>
      <c r="CP8">
        <f t="shared" si="15"/>
        <v>4.7588563259055E-2</v>
      </c>
      <c r="CQ8">
        <f t="shared" si="15"/>
        <v>4.9016220156826648E-2</v>
      </c>
      <c r="CR8">
        <f t="shared" si="15"/>
        <v>1.1667221958995764</v>
      </c>
      <c r="CU8" s="35">
        <f t="shared" si="28"/>
        <v>3.5000000000000003E-2</v>
      </c>
      <c r="CV8" s="35">
        <f t="shared" si="29"/>
        <v>2.5000000000000001E-2</v>
      </c>
      <c r="CX8" s="6">
        <f t="shared" si="16"/>
        <v>3.5000000000000003E-2</v>
      </c>
      <c r="CY8" s="6">
        <f t="shared" si="30"/>
        <v>4.5000000000000005E-2</v>
      </c>
      <c r="DA8" s="6">
        <f t="shared" si="31"/>
        <v>4.0603248259860794E-2</v>
      </c>
      <c r="DB8" s="6">
        <f t="shared" si="31"/>
        <v>5.2204176334106733E-2</v>
      </c>
    </row>
    <row r="9" spans="1:106" x14ac:dyDescent="0.25">
      <c r="A9">
        <f t="shared" si="32"/>
        <v>7</v>
      </c>
      <c r="B9" s="1" t="s">
        <v>61</v>
      </c>
      <c r="C9" s="1" t="s">
        <v>68</v>
      </c>
      <c r="D9" s="3">
        <v>8.5000000000000006E-2</v>
      </c>
      <c r="E9" s="3">
        <v>0.29399999999999998</v>
      </c>
      <c r="F9" s="2">
        <f t="shared" si="17"/>
        <v>6.0010000000000001E-2</v>
      </c>
      <c r="G9" s="4"/>
      <c r="H9" s="2">
        <f t="shared" si="18"/>
        <v>6.9999999999999993E-2</v>
      </c>
      <c r="I9" s="2">
        <f t="shared" si="18"/>
        <v>5.4999999999999993E-2</v>
      </c>
      <c r="J9" s="6"/>
      <c r="K9" s="2">
        <f t="shared" si="33"/>
        <v>9.9150141643059492E-2</v>
      </c>
      <c r="L9" s="2">
        <f t="shared" si="33"/>
        <v>7.7903682719546744E-2</v>
      </c>
      <c r="M9" s="6"/>
      <c r="N9" s="2">
        <f t="shared" si="0"/>
        <v>-1.3999999999999999E-2</v>
      </c>
      <c r="O9" s="2">
        <f t="shared" si="0"/>
        <v>-6.9999999999999993E-3</v>
      </c>
      <c r="P9" s="2">
        <f t="shared" si="0"/>
        <v>-2.9999999999999992E-3</v>
      </c>
      <c r="Q9" s="2">
        <f t="shared" si="0"/>
        <v>5.000000000000001E-3</v>
      </c>
      <c r="R9" s="2">
        <f t="shared" si="0"/>
        <v>0.01</v>
      </c>
      <c r="S9" s="2">
        <f t="shared" si="0"/>
        <v>0.02</v>
      </c>
      <c r="T9" s="2" cm="1">
        <f t="array" ref="T9">+PRODUCT(1+N9:P9)^(0.333333333333333)-1</f>
        <v>-8.010426938204751E-3</v>
      </c>
      <c r="U9" s="12" cm="1">
        <f t="array" ref="U9">+PRODUCT(1+N9:S9)^(1/6)-1</f>
        <v>1.7703070338461746E-3</v>
      </c>
      <c r="V9" s="6">
        <f t="shared" si="1"/>
        <v>4.7073122709011539E-3</v>
      </c>
      <c r="W9" s="6">
        <f t="shared" si="19"/>
        <v>7.3431186641669255E-2</v>
      </c>
      <c r="X9" s="6"/>
      <c r="Y9" s="6">
        <f t="shared" si="2"/>
        <v>-2.0684288512637292E-2</v>
      </c>
      <c r="Z9" s="6">
        <f t="shared" si="3"/>
        <v>7.4765537002318402E-2</v>
      </c>
      <c r="AA9" s="6"/>
      <c r="AB9" s="6">
        <f t="shared" si="4"/>
        <v>4.7073122709011539E-3</v>
      </c>
      <c r="AC9" s="6">
        <f t="shared" si="20"/>
        <v>7.4765537002318402E-2</v>
      </c>
      <c r="AD9" s="6"/>
      <c r="AE9" s="6">
        <f t="shared" si="5"/>
        <v>-7.7926877290988468E-3</v>
      </c>
      <c r="AF9" s="6">
        <f t="shared" si="5"/>
        <v>6.2265537002318405E-2</v>
      </c>
      <c r="AH9" s="3">
        <v>-1.3999999999999999E-2</v>
      </c>
      <c r="AI9" s="3">
        <v>-6.9999999999999993E-3</v>
      </c>
      <c r="AJ9" s="3">
        <v>-2.9999999999999992E-3</v>
      </c>
      <c r="AK9" s="3">
        <v>5.000000000000001E-3</v>
      </c>
      <c r="AL9" s="3">
        <v>0.01</v>
      </c>
      <c r="AM9" s="3">
        <v>0.02</v>
      </c>
      <c r="AN9" s="2" cm="1">
        <f t="array" ref="AN9">+PRODUCT(1+AH9:AJ9)^(0.333333333333333)-1</f>
        <v>-8.010426938204751E-3</v>
      </c>
      <c r="AO9" s="12" cm="1">
        <f t="array" ref="AO9">+PRODUCT(1+AH9:AM9)^(1/6)-1</f>
        <v>1.7703070338461746E-3</v>
      </c>
      <c r="AQ9" s="3">
        <v>8.1239999999999993E-3</v>
      </c>
      <c r="AR9" s="3">
        <v>8.1239999999999993E-3</v>
      </c>
      <c r="AS9" s="40"/>
      <c r="AT9" s="42">
        <v>3.5000000000000003E-2</v>
      </c>
      <c r="AV9" s="15">
        <f t="shared" si="21"/>
        <v>-1</v>
      </c>
      <c r="AW9" s="15">
        <f t="shared" si="6"/>
        <v>5.9169859999999998E-2</v>
      </c>
      <c r="AX9" s="15">
        <f t="shared" si="7"/>
        <v>5.8755670980000001E-2</v>
      </c>
      <c r="AY9" s="15">
        <f t="shared" si="8"/>
        <v>0.89542803206791721</v>
      </c>
      <c r="AZ9" s="15"/>
      <c r="BA9" s="15">
        <f t="shared" si="34"/>
        <v>-1</v>
      </c>
      <c r="BB9" s="15">
        <f t="shared" si="9"/>
        <v>5.9169859999999998E-2</v>
      </c>
      <c r="BC9" s="15">
        <f t="shared" si="10"/>
        <v>5.8755670980000001E-2</v>
      </c>
      <c r="BD9" s="15">
        <f t="shared" si="10"/>
        <v>5.8579403967060004E-2</v>
      </c>
      <c r="BE9" s="15">
        <f t="shared" si="10"/>
        <v>5.8872300986895297E-2</v>
      </c>
      <c r="BF9" s="15">
        <f t="shared" si="10"/>
        <v>5.9461023996764249E-2</v>
      </c>
      <c r="BG9" s="15">
        <f t="shared" si="11"/>
        <v>1.1633819622348729</v>
      </c>
      <c r="BI9" s="25">
        <v>0.28000000000000003</v>
      </c>
      <c r="BJ9" s="50">
        <f t="shared" si="22"/>
        <v>7.0000000000000007E-2</v>
      </c>
      <c r="BK9" s="26">
        <v>7.0000000000000007E-2</v>
      </c>
      <c r="BL9" s="26">
        <v>7.2500000000000009E-2</v>
      </c>
      <c r="BM9" s="26">
        <v>6.7500000000000004E-2</v>
      </c>
      <c r="BN9" s="26">
        <v>0</v>
      </c>
      <c r="BO9" s="26">
        <v>1.2500000000000001E-2</v>
      </c>
      <c r="BQ9">
        <f t="shared" si="12"/>
        <v>18</v>
      </c>
      <c r="BR9">
        <f t="shared" si="23"/>
        <v>7</v>
      </c>
      <c r="BS9" s="27">
        <v>0.05</v>
      </c>
      <c r="BT9" s="27">
        <v>0.15</v>
      </c>
      <c r="BU9" s="7"/>
      <c r="BX9">
        <f t="shared" si="13"/>
        <v>12</v>
      </c>
      <c r="BY9">
        <f t="shared" si="24"/>
        <v>7</v>
      </c>
      <c r="BZ9" s="27">
        <v>0.05</v>
      </c>
      <c r="CA9" s="27">
        <v>0.15</v>
      </c>
      <c r="CF9" s="50">
        <f t="shared" si="25"/>
        <v>3.4999999999999996E-2</v>
      </c>
      <c r="CG9" s="42">
        <v>3.4999999999999996E-2</v>
      </c>
      <c r="CH9" s="42">
        <v>3.7499999999999999E-2</v>
      </c>
      <c r="CI9" s="42">
        <v>3.2499999999999994E-2</v>
      </c>
      <c r="CJ9" s="51">
        <f t="shared" si="26"/>
        <v>7.4999999999999997E-2</v>
      </c>
      <c r="CK9" s="51">
        <f t="shared" si="27"/>
        <v>7.4999999999999997E-2</v>
      </c>
      <c r="CL9" s="39">
        <f t="shared" si="14"/>
        <v>0.99236748138966935</v>
      </c>
      <c r="CM9">
        <f t="shared" si="15"/>
        <v>5.9169859999999998E-2</v>
      </c>
      <c r="CN9">
        <f t="shared" si="15"/>
        <v>5.8755670980000001E-2</v>
      </c>
      <c r="CO9">
        <f t="shared" si="15"/>
        <v>5.8579403967060004E-2</v>
      </c>
      <c r="CP9">
        <f t="shared" si="15"/>
        <v>5.8872300986895297E-2</v>
      </c>
      <c r="CQ9">
        <f t="shared" si="15"/>
        <v>5.9461023996764249E-2</v>
      </c>
      <c r="CR9">
        <f t="shared" si="15"/>
        <v>1.1633819622348729</v>
      </c>
      <c r="CU9" s="35">
        <f t="shared" si="28"/>
        <v>5.000000000000001E-3</v>
      </c>
      <c r="CV9" s="35">
        <f t="shared" si="29"/>
        <v>0.02</v>
      </c>
      <c r="CX9" s="6">
        <f t="shared" si="16"/>
        <v>6.9999999999999993E-2</v>
      </c>
      <c r="CY9" s="6">
        <f t="shared" si="30"/>
        <v>5.4999999999999993E-2</v>
      </c>
      <c r="DA9" s="6">
        <f t="shared" si="31"/>
        <v>9.9150141643059492E-2</v>
      </c>
      <c r="DB9" s="6">
        <f t="shared" si="31"/>
        <v>7.7903682719546744E-2</v>
      </c>
    </row>
    <row r="10" spans="1:106" x14ac:dyDescent="0.25">
      <c r="A10">
        <f t="shared" si="32"/>
        <v>8</v>
      </c>
      <c r="B10" s="1" t="s">
        <v>61</v>
      </c>
      <c r="C10" s="1" t="s">
        <v>69</v>
      </c>
      <c r="D10" s="3">
        <v>0.06</v>
      </c>
      <c r="E10" s="3">
        <v>0.188</v>
      </c>
      <c r="F10" s="2">
        <f t="shared" si="17"/>
        <v>4.8719999999999999E-2</v>
      </c>
      <c r="G10" s="4"/>
      <c r="H10" s="2">
        <f t="shared" si="18"/>
        <v>0.05</v>
      </c>
      <c r="I10" s="2">
        <f t="shared" si="18"/>
        <v>4.5000000000000005E-2</v>
      </c>
      <c r="J10" s="6"/>
      <c r="K10" s="2">
        <f t="shared" si="33"/>
        <v>6.1576354679802957E-2</v>
      </c>
      <c r="L10" s="2">
        <f t="shared" si="33"/>
        <v>5.5418719211822662E-2</v>
      </c>
      <c r="M10" s="6"/>
      <c r="N10" s="2">
        <f t="shared" si="0"/>
        <v>0.01</v>
      </c>
      <c r="O10" s="2">
        <f t="shared" si="0"/>
        <v>0.02</v>
      </c>
      <c r="P10" s="2">
        <f t="shared" si="0"/>
        <v>0.02</v>
      </c>
      <c r="Q10" s="2">
        <f t="shared" si="0"/>
        <v>0.02</v>
      </c>
      <c r="R10" s="2">
        <f t="shared" si="0"/>
        <v>0.02</v>
      </c>
      <c r="S10" s="2">
        <f t="shared" si="0"/>
        <v>2.5000000000000001E-2</v>
      </c>
      <c r="T10" s="2" cm="1">
        <f t="array" ref="T10">+PRODUCT(1+N10:P10)^(0.333333333333333)-1</f>
        <v>1.6655713698476626E-2</v>
      </c>
      <c r="U10" s="12" cm="1">
        <f t="array" ref="U10">+PRODUCT(1+N10:S10)^(1/6)-1</f>
        <v>1.9156755856084562E-2</v>
      </c>
      <c r="V10" s="6">
        <f t="shared" si="1"/>
        <v>5.768611397745782E-2</v>
      </c>
      <c r="W10" s="6">
        <f t="shared" si="19"/>
        <v>8.056425239927778E-2</v>
      </c>
      <c r="X10" s="6"/>
      <c r="Y10" s="6">
        <f t="shared" si="2"/>
        <v>5.5634177315958155E-2</v>
      </c>
      <c r="Z10" s="6">
        <f t="shared" si="3"/>
        <v>9.8800476225052419E-2</v>
      </c>
      <c r="AA10" s="6"/>
      <c r="AB10" s="6">
        <f t="shared" si="4"/>
        <v>6.0186113977457822E-2</v>
      </c>
      <c r="AC10" s="6">
        <f t="shared" si="20"/>
        <v>0.10130047622505242</v>
      </c>
      <c r="AD10" s="6"/>
      <c r="AE10" s="6">
        <f t="shared" si="5"/>
        <v>4.7686113977457825E-2</v>
      </c>
      <c r="AF10" s="6">
        <f t="shared" si="5"/>
        <v>8.8800476225052424E-2</v>
      </c>
      <c r="AH10" s="3">
        <v>0.01</v>
      </c>
      <c r="AI10" s="3">
        <v>0.02</v>
      </c>
      <c r="AJ10" s="3">
        <v>0.02</v>
      </c>
      <c r="AK10" s="3">
        <v>0.02</v>
      </c>
      <c r="AL10" s="3">
        <v>0.02</v>
      </c>
      <c r="AM10" s="3">
        <v>2.5000000000000001E-2</v>
      </c>
      <c r="AN10" s="2" cm="1">
        <f t="array" ref="AN10">+PRODUCT(1+AH10:AJ10)^(0.333333333333333)-1</f>
        <v>1.6655713698476626E-2</v>
      </c>
      <c r="AO10" s="12" cm="1">
        <f t="array" ref="AO10">+PRODUCT(1+AH10:AM10)^(1/6)-1</f>
        <v>1.9156755856084562E-2</v>
      </c>
      <c r="AQ10" s="3">
        <v>7.9079999999999984E-3</v>
      </c>
      <c r="AR10" s="3">
        <v>7.9079999999999984E-3</v>
      </c>
      <c r="AS10" s="40"/>
      <c r="AT10" s="42">
        <v>2.5000000000000001E-2</v>
      </c>
      <c r="AV10" s="15">
        <f t="shared" si="21"/>
        <v>-1</v>
      </c>
      <c r="AW10" s="15">
        <f t="shared" si="6"/>
        <v>4.92072E-2</v>
      </c>
      <c r="AX10" s="15">
        <f t="shared" si="7"/>
        <v>5.0191343999999999E-2</v>
      </c>
      <c r="AY10" s="15">
        <f t="shared" si="8"/>
        <v>1.07509858848</v>
      </c>
      <c r="AZ10" s="15"/>
      <c r="BA10" s="15">
        <f t="shared" si="34"/>
        <v>-1</v>
      </c>
      <c r="BB10" s="15">
        <f t="shared" si="9"/>
        <v>4.92072E-2</v>
      </c>
      <c r="BC10" s="15">
        <f t="shared" si="10"/>
        <v>5.0191343999999999E-2</v>
      </c>
      <c r="BD10" s="15">
        <f t="shared" si="10"/>
        <v>5.1195170880000002E-2</v>
      </c>
      <c r="BE10" s="15">
        <f t="shared" si="10"/>
        <v>5.2219074297600004E-2</v>
      </c>
      <c r="BF10" s="15">
        <f t="shared" si="10"/>
        <v>5.3263455783552002E-2</v>
      </c>
      <c r="BG10" s="15">
        <f t="shared" si="11"/>
        <v>1.2678182016923805</v>
      </c>
      <c r="BI10" s="25">
        <v>0.47</v>
      </c>
      <c r="BJ10" s="50">
        <f t="shared" si="22"/>
        <v>0.06</v>
      </c>
      <c r="BK10" s="26">
        <v>0.06</v>
      </c>
      <c r="BL10" s="26">
        <v>6.25E-2</v>
      </c>
      <c r="BM10" s="26">
        <v>5.7499999999999996E-2</v>
      </c>
      <c r="BN10" s="26">
        <v>2.5000000000000001E-3</v>
      </c>
      <c r="BO10" s="26">
        <v>1.2500000000000001E-2</v>
      </c>
      <c r="BQ10">
        <f t="shared" si="12"/>
        <v>15</v>
      </c>
      <c r="BR10">
        <f t="shared" si="23"/>
        <v>8</v>
      </c>
      <c r="BS10" s="27">
        <v>0.05</v>
      </c>
      <c r="BT10" s="27">
        <v>0.15</v>
      </c>
      <c r="BU10" s="7"/>
      <c r="BX10">
        <f t="shared" si="13"/>
        <v>5</v>
      </c>
      <c r="BY10">
        <f t="shared" si="24"/>
        <v>8</v>
      </c>
      <c r="BZ10" s="27">
        <v>0.05</v>
      </c>
      <c r="CA10" s="27">
        <v>0.15</v>
      </c>
      <c r="CF10" s="50">
        <f t="shared" si="25"/>
        <v>3.0000000000000006E-2</v>
      </c>
      <c r="CG10" s="42">
        <v>3.0000000000000006E-2</v>
      </c>
      <c r="CH10" s="42">
        <v>3.2500000000000008E-2</v>
      </c>
      <c r="CI10" s="42">
        <v>2.7500000000000007E-2</v>
      </c>
      <c r="CJ10" s="51">
        <f t="shared" si="26"/>
        <v>7.0000000000000007E-2</v>
      </c>
      <c r="CK10" s="51">
        <f t="shared" si="27"/>
        <v>7.0000000000000007E-2</v>
      </c>
      <c r="CL10" s="39">
        <f t="shared" si="14"/>
        <v>1.0542321998684268</v>
      </c>
      <c r="CM10">
        <f t="shared" si="15"/>
        <v>4.92072E-2</v>
      </c>
      <c r="CN10">
        <f t="shared" si="15"/>
        <v>5.0191343999999999E-2</v>
      </c>
      <c r="CO10">
        <f t="shared" si="15"/>
        <v>5.1195170880000002E-2</v>
      </c>
      <c r="CP10">
        <f t="shared" si="15"/>
        <v>5.2219074297600004E-2</v>
      </c>
      <c r="CQ10">
        <f t="shared" si="15"/>
        <v>5.3263455783552002E-2</v>
      </c>
      <c r="CR10">
        <f t="shared" si="15"/>
        <v>1.2678182016923805</v>
      </c>
      <c r="CU10" s="35">
        <f t="shared" si="28"/>
        <v>0.02</v>
      </c>
      <c r="CV10" s="35">
        <f t="shared" si="29"/>
        <v>2.5000000000000001E-2</v>
      </c>
      <c r="CX10" s="6">
        <f t="shared" si="16"/>
        <v>0.05</v>
      </c>
      <c r="CY10" s="6">
        <f t="shared" si="30"/>
        <v>4.5000000000000005E-2</v>
      </c>
      <c r="DA10" s="6">
        <f t="shared" si="31"/>
        <v>6.1576354679802957E-2</v>
      </c>
      <c r="DB10" s="6">
        <f t="shared" si="31"/>
        <v>5.5418719211822662E-2</v>
      </c>
    </row>
    <row r="11" spans="1:106" x14ac:dyDescent="0.25">
      <c r="A11">
        <f t="shared" si="32"/>
        <v>9</v>
      </c>
      <c r="B11" s="1" t="s">
        <v>61</v>
      </c>
      <c r="C11" s="1" t="s">
        <v>70</v>
      </c>
      <c r="D11" s="3">
        <v>0.06</v>
      </c>
      <c r="E11" s="3">
        <v>0.191</v>
      </c>
      <c r="F11" s="2">
        <f t="shared" si="17"/>
        <v>4.8539999999999993E-2</v>
      </c>
      <c r="G11" s="4"/>
      <c r="H11" s="2">
        <f t="shared" si="18"/>
        <v>2.4999999999999994E-2</v>
      </c>
      <c r="I11" s="2">
        <f t="shared" si="18"/>
        <v>4.4999999999999998E-2</v>
      </c>
      <c r="J11" s="6"/>
      <c r="K11" s="2">
        <f t="shared" si="33"/>
        <v>3.0902348578491962E-2</v>
      </c>
      <c r="L11" s="2">
        <f t="shared" si="33"/>
        <v>5.5624227441285541E-2</v>
      </c>
      <c r="M11" s="6"/>
      <c r="N11" s="2">
        <f t="shared" si="0"/>
        <v>5.8999999999999997E-2</v>
      </c>
      <c r="O11" s="2">
        <f t="shared" si="0"/>
        <v>5.8999999999999997E-2</v>
      </c>
      <c r="P11" s="2">
        <f t="shared" si="0"/>
        <v>5.0999999999999997E-2</v>
      </c>
      <c r="Q11" s="2">
        <f t="shared" si="0"/>
        <v>0.05</v>
      </c>
      <c r="R11" s="2">
        <f t="shared" si="0"/>
        <v>0.04</v>
      </c>
      <c r="S11" s="2">
        <f t="shared" si="0"/>
        <v>0.03</v>
      </c>
      <c r="T11" s="2" cm="1">
        <f t="array" ref="T11">+PRODUCT(1+N11:P11)^(0.333333333333333)-1</f>
        <v>5.632659007895735E-2</v>
      </c>
      <c r="U11" s="12" cm="1">
        <f t="array" ref="U11">+PRODUCT(1+N11:S11)^(1/6)-1</f>
        <v>4.8115354346635719E-2</v>
      </c>
      <c r="V11" s="6">
        <f t="shared" si="1"/>
        <v>0.35988528122349539</v>
      </c>
      <c r="W11" s="6">
        <f t="shared" si="19"/>
        <v>0.11163799796724527</v>
      </c>
      <c r="X11" s="6"/>
      <c r="Y11" s="6">
        <f t="shared" si="2"/>
        <v>0.50882131525894836</v>
      </c>
      <c r="Z11" s="6">
        <f t="shared" si="3"/>
        <v>0.1383029820406646</v>
      </c>
      <c r="AA11" s="6"/>
      <c r="AB11" s="6">
        <f t="shared" si="4"/>
        <v>0.3698852812234954</v>
      </c>
      <c r="AC11" s="6">
        <f t="shared" si="20"/>
        <v>0.14830298204066461</v>
      </c>
      <c r="AD11" s="6"/>
      <c r="AE11" s="6">
        <f t="shared" si="5"/>
        <v>0.35738528122349539</v>
      </c>
      <c r="AF11" s="6">
        <f t="shared" si="5"/>
        <v>0.1358029820406646</v>
      </c>
      <c r="AH11" s="3">
        <v>5.8999999999999997E-2</v>
      </c>
      <c r="AI11" s="3">
        <v>5.8999999999999997E-2</v>
      </c>
      <c r="AJ11" s="3">
        <v>5.0999999999999997E-2</v>
      </c>
      <c r="AK11" s="3">
        <v>0.05</v>
      </c>
      <c r="AL11" s="3">
        <v>0.04</v>
      </c>
      <c r="AM11" s="3">
        <v>0.03</v>
      </c>
      <c r="AN11" s="2" cm="1">
        <f t="array" ref="AN11">+PRODUCT(1+AH11:AJ11)^(0.333333333333333)-1</f>
        <v>5.632659007895735E-2</v>
      </c>
      <c r="AO11" s="12" cm="1">
        <f t="array" ref="AO11">+PRODUCT(1+AH11:AM11)^(1/6)-1</f>
        <v>4.8115354346635719E-2</v>
      </c>
      <c r="AQ11" s="3">
        <v>3.6859999999999948E-3</v>
      </c>
      <c r="AR11" s="3">
        <v>3.6859999999999948E-3</v>
      </c>
      <c r="AS11" s="40"/>
      <c r="AT11" s="42">
        <v>1.4999999999999999E-2</v>
      </c>
      <c r="AV11" s="15">
        <f t="shared" si="21"/>
        <v>-1</v>
      </c>
      <c r="AW11" s="15">
        <f t="shared" si="6"/>
        <v>5.1403859999999989E-2</v>
      </c>
      <c r="AX11" s="15">
        <f t="shared" si="7"/>
        <v>5.4436687739999982E-2</v>
      </c>
      <c r="AY11" s="15">
        <f t="shared" si="8"/>
        <v>2.3457313114043394</v>
      </c>
      <c r="AZ11" s="15"/>
      <c r="BA11" s="15">
        <f t="shared" si="34"/>
        <v>-1</v>
      </c>
      <c r="BB11" s="15">
        <f t="shared" si="9"/>
        <v>5.1403859999999989E-2</v>
      </c>
      <c r="BC11" s="15">
        <f t="shared" si="10"/>
        <v>5.4436687739999982E-2</v>
      </c>
      <c r="BD11" s="15">
        <f t="shared" si="10"/>
        <v>5.7212958814739978E-2</v>
      </c>
      <c r="BE11" s="15">
        <f t="shared" si="10"/>
        <v>6.0073606755476981E-2</v>
      </c>
      <c r="BF11" s="15">
        <f t="shared" si="10"/>
        <v>6.2476551025696062E-2</v>
      </c>
      <c r="BG11" s="15">
        <f t="shared" si="11"/>
        <v>1.4943696821446213</v>
      </c>
      <c r="BI11" s="25">
        <v>0.33</v>
      </c>
      <c r="BJ11" s="50">
        <f t="shared" si="22"/>
        <v>5.7500000000000002E-2</v>
      </c>
      <c r="BK11" s="26">
        <v>5.7500000000000002E-2</v>
      </c>
      <c r="BL11" s="26">
        <v>6.0000000000000005E-2</v>
      </c>
      <c r="BM11" s="26">
        <v>5.5E-2</v>
      </c>
      <c r="BN11" s="26">
        <v>0.01</v>
      </c>
      <c r="BO11" s="26">
        <v>1.2500000000000001E-2</v>
      </c>
      <c r="BQ11">
        <f t="shared" si="12"/>
        <v>1</v>
      </c>
      <c r="BR11">
        <f t="shared" si="23"/>
        <v>9</v>
      </c>
      <c r="BS11" s="27">
        <v>0.05</v>
      </c>
      <c r="BT11" s="27">
        <v>0.15</v>
      </c>
      <c r="BU11" s="7"/>
      <c r="BX11">
        <f t="shared" si="13"/>
        <v>2</v>
      </c>
      <c r="BY11">
        <f t="shared" si="24"/>
        <v>9</v>
      </c>
      <c r="BZ11" s="27">
        <v>0.05</v>
      </c>
      <c r="CA11" s="27">
        <v>0.15</v>
      </c>
      <c r="CF11" s="50">
        <f t="shared" si="25"/>
        <v>3.4999999999999996E-2</v>
      </c>
      <c r="CG11" s="42">
        <v>3.4999999999999996E-2</v>
      </c>
      <c r="CH11" s="42">
        <v>3.7499999999999999E-2</v>
      </c>
      <c r="CI11" s="42">
        <v>3.2499999999999994E-2</v>
      </c>
      <c r="CJ11" s="51">
        <v>7.4999999999999997E-2</v>
      </c>
      <c r="CK11" s="51">
        <f t="shared" si="27"/>
        <v>7.4999999999999997E-2</v>
      </c>
      <c r="CL11" s="39">
        <f t="shared" si="14"/>
        <v>1.1977733391910148</v>
      </c>
      <c r="CM11">
        <f t="shared" si="15"/>
        <v>5.1403859999999989E-2</v>
      </c>
      <c r="CN11">
        <f t="shared" si="15"/>
        <v>5.4436687739999982E-2</v>
      </c>
      <c r="CO11">
        <f t="shared" si="15"/>
        <v>5.7212958814739978E-2</v>
      </c>
      <c r="CP11">
        <f t="shared" si="15"/>
        <v>6.0073606755476981E-2</v>
      </c>
      <c r="CQ11">
        <f t="shared" si="15"/>
        <v>6.2476551025696062E-2</v>
      </c>
      <c r="CR11">
        <f t="shared" si="15"/>
        <v>1.4943696821446213</v>
      </c>
      <c r="CU11" s="35">
        <f t="shared" si="28"/>
        <v>0.05</v>
      </c>
      <c r="CV11" s="35">
        <f t="shared" si="29"/>
        <v>0.03</v>
      </c>
      <c r="CX11" s="6">
        <f t="shared" si="16"/>
        <v>2.4999999999999994E-2</v>
      </c>
      <c r="CY11" s="6">
        <f t="shared" si="30"/>
        <v>4.4999999999999998E-2</v>
      </c>
      <c r="DA11" s="6">
        <f t="shared" si="31"/>
        <v>3.0902348578491962E-2</v>
      </c>
      <c r="DB11" s="6">
        <f t="shared" si="31"/>
        <v>5.5624227441285541E-2</v>
      </c>
    </row>
    <row r="12" spans="1:106" x14ac:dyDescent="0.25">
      <c r="A12">
        <f t="shared" si="32"/>
        <v>10</v>
      </c>
      <c r="B12" s="1" t="s">
        <v>61</v>
      </c>
      <c r="C12" s="1" t="s">
        <v>71</v>
      </c>
      <c r="D12" s="3">
        <v>4.4999999999999998E-2</v>
      </c>
      <c r="E12" s="3">
        <v>0.13600000000000001</v>
      </c>
      <c r="F12" s="2">
        <f t="shared" si="17"/>
        <v>3.8879999999999998E-2</v>
      </c>
      <c r="G12" s="4"/>
      <c r="H12" s="2">
        <f t="shared" si="18"/>
        <v>3.0000000000000006E-2</v>
      </c>
      <c r="I12" s="2">
        <f t="shared" si="18"/>
        <v>4.0000000000000008E-2</v>
      </c>
      <c r="J12" s="6"/>
      <c r="K12" s="2">
        <f t="shared" si="33"/>
        <v>3.4722222222222231E-2</v>
      </c>
      <c r="L12" s="2">
        <f t="shared" si="33"/>
        <v>4.6296296296296308E-2</v>
      </c>
      <c r="M12" s="6"/>
      <c r="N12" s="2">
        <f t="shared" si="0"/>
        <v>4.8000000000000001E-2</v>
      </c>
      <c r="O12" s="2">
        <f t="shared" si="0"/>
        <v>4.8000000000000001E-2</v>
      </c>
      <c r="P12" s="2">
        <f t="shared" si="0"/>
        <v>4.9000000000000002E-2</v>
      </c>
      <c r="Q12" s="2">
        <f t="shared" si="0"/>
        <v>0.04</v>
      </c>
      <c r="R12" s="2">
        <f t="shared" si="0"/>
        <v>0.04</v>
      </c>
      <c r="S12" s="2">
        <f t="shared" si="0"/>
        <v>0.03</v>
      </c>
      <c r="T12" s="2" cm="1">
        <f t="array" ref="T12">+PRODUCT(1+N12:P12)^(0.333333333333333)-1</f>
        <v>4.8333227367448384E-2</v>
      </c>
      <c r="U12" s="12" cm="1">
        <f t="array" ref="U12">+PRODUCT(1+N12:S12)^(1/6)-1</f>
        <v>4.2478226158004562E-2</v>
      </c>
      <c r="V12" s="6">
        <f t="shared" si="1"/>
        <v>0.18050361050473307</v>
      </c>
      <c r="W12" s="6">
        <f t="shared" si="19"/>
        <v>7.8957886155176071E-2</v>
      </c>
      <c r="X12" s="6"/>
      <c r="Y12" s="6">
        <f t="shared" si="2"/>
        <v>0.21519693654452957</v>
      </c>
      <c r="Z12" s="6">
        <f t="shared" si="3"/>
        <v>8.5010110455353935E-2</v>
      </c>
      <c r="AA12" s="6"/>
      <c r="AB12" s="6">
        <f t="shared" si="4"/>
        <v>0.18800361050473308</v>
      </c>
      <c r="AC12" s="6">
        <f t="shared" si="20"/>
        <v>9.2510110455353928E-2</v>
      </c>
      <c r="AD12" s="6"/>
      <c r="AE12" s="6">
        <f t="shared" si="5"/>
        <v>0.17550361050473307</v>
      </c>
      <c r="AF12" s="6">
        <f t="shared" si="5"/>
        <v>8.0010110455353931E-2</v>
      </c>
      <c r="AH12" s="3">
        <v>4.8000000000000001E-2</v>
      </c>
      <c r="AI12" s="3">
        <v>4.8000000000000001E-2</v>
      </c>
      <c r="AJ12" s="3">
        <v>4.9000000000000002E-2</v>
      </c>
      <c r="AK12" s="3">
        <v>0.04</v>
      </c>
      <c r="AL12" s="3">
        <v>0.04</v>
      </c>
      <c r="AM12" s="3">
        <v>0.03</v>
      </c>
      <c r="AN12" s="2" cm="1">
        <f t="array" ref="AN12">+PRODUCT(1+AH12:AJ12)^(0.333333333333333)-1</f>
        <v>4.8333227367448384E-2</v>
      </c>
      <c r="AO12" s="12" cm="1">
        <f t="array" ref="AO12">+PRODUCT(1+AH12:AM12)^(1/6)-1</f>
        <v>4.2478226158004562E-2</v>
      </c>
      <c r="AQ12" s="3">
        <v>-3.6200000000000052E-3</v>
      </c>
      <c r="AR12" s="3">
        <v>-3.6200000000000052E-3</v>
      </c>
      <c r="AS12" s="40"/>
      <c r="AT12" s="42">
        <v>1.4999999999999999E-2</v>
      </c>
      <c r="AV12" s="15">
        <f t="shared" si="21"/>
        <v>-1</v>
      </c>
      <c r="AW12" s="15">
        <f t="shared" si="6"/>
        <v>4.0746239999999996E-2</v>
      </c>
      <c r="AX12" s="15">
        <f t="shared" si="7"/>
        <v>4.2702059519999995E-2</v>
      </c>
      <c r="AY12" s="15">
        <f t="shared" si="8"/>
        <v>1.5379431416524796</v>
      </c>
      <c r="AZ12" s="15"/>
      <c r="BA12" s="15">
        <f t="shared" si="34"/>
        <v>-1</v>
      </c>
      <c r="BB12" s="15">
        <f t="shared" si="9"/>
        <v>4.0746239999999996E-2</v>
      </c>
      <c r="BC12" s="15">
        <f t="shared" si="10"/>
        <v>4.2702059519999995E-2</v>
      </c>
      <c r="BD12" s="15">
        <f t="shared" si="10"/>
        <v>4.4794460436479992E-2</v>
      </c>
      <c r="BE12" s="15">
        <f t="shared" si="10"/>
        <v>4.6586238853939192E-2</v>
      </c>
      <c r="BF12" s="15">
        <f t="shared" si="10"/>
        <v>4.8449688408096762E-2</v>
      </c>
      <c r="BG12" s="15">
        <f t="shared" si="11"/>
        <v>1.2974826555688312</v>
      </c>
      <c r="BI12" s="25">
        <v>0.22</v>
      </c>
      <c r="BJ12" s="50">
        <f t="shared" si="22"/>
        <v>5.7500000000000002E-2</v>
      </c>
      <c r="BK12" s="26">
        <v>5.7500000000000002E-2</v>
      </c>
      <c r="BL12" s="26">
        <v>6.0000000000000005E-2</v>
      </c>
      <c r="BM12" s="26">
        <v>5.5E-2</v>
      </c>
      <c r="BN12" s="26">
        <v>7.4999999999999997E-3</v>
      </c>
      <c r="BO12" s="26">
        <v>1.2500000000000001E-2</v>
      </c>
      <c r="BQ12">
        <f t="shared" si="12"/>
        <v>7</v>
      </c>
      <c r="BR12">
        <f t="shared" si="23"/>
        <v>10</v>
      </c>
      <c r="BS12" s="27">
        <v>0.05</v>
      </c>
      <c r="BT12" s="27">
        <v>0.15</v>
      </c>
      <c r="BU12" s="7"/>
      <c r="BX12">
        <f t="shared" si="13"/>
        <v>7</v>
      </c>
      <c r="BY12">
        <f t="shared" si="24"/>
        <v>10</v>
      </c>
      <c r="BZ12" s="27">
        <v>0.05</v>
      </c>
      <c r="CA12" s="27">
        <v>0.15</v>
      </c>
      <c r="CF12" s="50">
        <f t="shared" si="25"/>
        <v>3.0000000000000006E-2</v>
      </c>
      <c r="CG12" s="42">
        <v>3.0000000000000006E-2</v>
      </c>
      <c r="CH12" s="42">
        <v>3.2500000000000008E-2</v>
      </c>
      <c r="CI12" s="42">
        <v>2.7500000000000007E-2</v>
      </c>
      <c r="CJ12" s="51">
        <f t="shared" ref="CJ12:CJ21" si="35">+$F$30+CF12</f>
        <v>7.0000000000000007E-2</v>
      </c>
      <c r="CK12" s="51">
        <f t="shared" si="27"/>
        <v>7.0000000000000007E-2</v>
      </c>
      <c r="CL12" s="39">
        <f t="shared" si="14"/>
        <v>1.0465957085227313</v>
      </c>
      <c r="CM12">
        <f t="shared" si="15"/>
        <v>4.0746239999999996E-2</v>
      </c>
      <c r="CN12">
        <f t="shared" si="15"/>
        <v>4.2702059519999995E-2</v>
      </c>
      <c r="CO12">
        <f t="shared" si="15"/>
        <v>4.4794460436479992E-2</v>
      </c>
      <c r="CP12">
        <f t="shared" si="15"/>
        <v>4.6586238853939192E-2</v>
      </c>
      <c r="CQ12">
        <f t="shared" si="15"/>
        <v>4.8449688408096762E-2</v>
      </c>
      <c r="CR12">
        <f t="shared" si="15"/>
        <v>1.2974826555688312</v>
      </c>
      <c r="CU12" s="35">
        <f t="shared" si="28"/>
        <v>0.04</v>
      </c>
      <c r="CV12" s="35">
        <f t="shared" si="29"/>
        <v>0.03</v>
      </c>
      <c r="CX12" s="6">
        <f t="shared" si="16"/>
        <v>3.0000000000000006E-2</v>
      </c>
      <c r="CY12" s="6">
        <f t="shared" si="30"/>
        <v>4.0000000000000008E-2</v>
      </c>
      <c r="DA12" s="6">
        <f t="shared" si="31"/>
        <v>3.4722222222222231E-2</v>
      </c>
      <c r="DB12" s="6">
        <f t="shared" si="31"/>
        <v>4.6296296296296308E-2</v>
      </c>
    </row>
    <row r="13" spans="1:106" x14ac:dyDescent="0.25">
      <c r="A13">
        <f t="shared" si="32"/>
        <v>11</v>
      </c>
      <c r="B13" s="1" t="s">
        <v>61</v>
      </c>
      <c r="C13" s="1" t="s">
        <v>72</v>
      </c>
      <c r="D13" s="3">
        <v>4.7E-2</v>
      </c>
      <c r="E13" s="3">
        <v>0.17</v>
      </c>
      <c r="F13" s="2">
        <f t="shared" si="17"/>
        <v>3.9009999999999996E-2</v>
      </c>
      <c r="G13" s="4"/>
      <c r="H13" s="2">
        <f t="shared" si="18"/>
        <v>3.4999999999999996E-2</v>
      </c>
      <c r="I13" s="2">
        <f t="shared" si="18"/>
        <v>5.4999999999999993E-2</v>
      </c>
      <c r="J13" s="6"/>
      <c r="K13" s="2">
        <f t="shared" si="33"/>
        <v>4.2168674698795178E-2</v>
      </c>
      <c r="L13" s="2">
        <f t="shared" si="33"/>
        <v>6.6265060240963847E-2</v>
      </c>
      <c r="M13" s="6"/>
      <c r="N13" s="2">
        <f t="shared" si="0"/>
        <v>0.1</v>
      </c>
      <c r="O13" s="2">
        <f t="shared" si="0"/>
        <v>0.08</v>
      </c>
      <c r="P13" s="2">
        <f t="shared" si="0"/>
        <v>0.05</v>
      </c>
      <c r="Q13" s="2">
        <f t="shared" si="0"/>
        <v>0.04</v>
      </c>
      <c r="R13" s="2">
        <f t="shared" si="0"/>
        <v>0.03</v>
      </c>
      <c r="S13" s="2">
        <f t="shared" si="0"/>
        <v>0.02</v>
      </c>
      <c r="T13" s="2" cm="1">
        <f t="array" ref="T13">+PRODUCT(1+N13:P13)^(0.333333333333333)-1</f>
        <v>7.6469955893837982E-2</v>
      </c>
      <c r="U13" s="12" cm="1">
        <f t="array" ref="U13">+PRODUCT(1+N13:S13)^(1/6)-1</f>
        <v>5.2962115301692148E-2</v>
      </c>
      <c r="V13" s="6">
        <f t="shared" si="1"/>
        <v>0.15731596333592601</v>
      </c>
      <c r="W13" s="6">
        <f t="shared" si="19"/>
        <v>4.3742501445481086E-2</v>
      </c>
      <c r="X13" s="6"/>
      <c r="Y13" s="6">
        <f t="shared" si="2"/>
        <v>0.19058795111456803</v>
      </c>
      <c r="Z13" s="6">
        <f t="shared" si="3"/>
        <v>3.9156668593974785E-2</v>
      </c>
      <c r="AA13" s="6"/>
      <c r="AB13" s="6">
        <f t="shared" si="4"/>
        <v>0.16231596333592602</v>
      </c>
      <c r="AC13" s="6">
        <f t="shared" si="20"/>
        <v>4.4156668593974782E-2</v>
      </c>
      <c r="AD13" s="6"/>
      <c r="AE13" s="6">
        <f t="shared" si="5"/>
        <v>0.14981596333592601</v>
      </c>
      <c r="AF13" s="6">
        <f t="shared" si="5"/>
        <v>3.1656668593974785E-2</v>
      </c>
      <c r="AH13" s="3">
        <v>0.1</v>
      </c>
      <c r="AI13" s="3">
        <v>0.08</v>
      </c>
      <c r="AJ13" s="3">
        <v>0.05</v>
      </c>
      <c r="AK13" s="3">
        <v>0.04</v>
      </c>
      <c r="AL13" s="3">
        <v>0.03</v>
      </c>
      <c r="AM13" s="3">
        <v>0.02</v>
      </c>
      <c r="AN13" s="2" cm="1">
        <f t="array" ref="AN13">+PRODUCT(1+AH13:AJ13)^(0.333333333333333)-1</f>
        <v>7.6469955893837982E-2</v>
      </c>
      <c r="AO13" s="12" cm="1">
        <f t="array" ref="AO13">+PRODUCT(1+AH13:AM13)^(1/6)-1</f>
        <v>5.2962115301692148E-2</v>
      </c>
      <c r="AQ13" s="3">
        <v>-8.4600000000000022E-3</v>
      </c>
      <c r="AR13" s="3">
        <v>-4.0000000000000001E-3</v>
      </c>
      <c r="AS13" s="40"/>
      <c r="AT13" s="42">
        <v>1.4999999999999999E-2</v>
      </c>
      <c r="AV13" s="15">
        <f t="shared" si="21"/>
        <v>-1</v>
      </c>
      <c r="AW13" s="15">
        <f t="shared" si="6"/>
        <v>4.2910999999999998E-2</v>
      </c>
      <c r="AX13" s="15">
        <f t="shared" si="7"/>
        <v>4.6343880000000004E-2</v>
      </c>
      <c r="AY13" s="15">
        <f t="shared" si="8"/>
        <v>1.4389774740000003</v>
      </c>
      <c r="AZ13" s="15"/>
      <c r="BA13" s="15">
        <f t="shared" si="34"/>
        <v>-1</v>
      </c>
      <c r="BB13" s="15">
        <f t="shared" si="9"/>
        <v>4.2910999999999998E-2</v>
      </c>
      <c r="BC13" s="15">
        <f t="shared" si="10"/>
        <v>4.6343880000000004E-2</v>
      </c>
      <c r="BD13" s="15">
        <f t="shared" si="10"/>
        <v>4.8661074000000006E-2</v>
      </c>
      <c r="BE13" s="15">
        <f t="shared" si="10"/>
        <v>5.0607516960000008E-2</v>
      </c>
      <c r="BF13" s="15">
        <f t="shared" si="10"/>
        <v>5.2125742468800008E-2</v>
      </c>
      <c r="BG13" s="15">
        <f t="shared" si="11"/>
        <v>1.0198638449213764</v>
      </c>
      <c r="BI13" s="25">
        <v>0.25</v>
      </c>
      <c r="BJ13" s="50">
        <f t="shared" si="22"/>
        <v>5.7500000000000002E-2</v>
      </c>
      <c r="BK13" s="26">
        <v>5.7500000000000002E-2</v>
      </c>
      <c r="BL13" s="26">
        <v>6.0000000000000005E-2</v>
      </c>
      <c r="BM13" s="26">
        <v>5.5E-2</v>
      </c>
      <c r="BN13" s="26">
        <v>5.0000000000000001E-3</v>
      </c>
      <c r="BO13" s="26">
        <v>1.2500000000000001E-2</v>
      </c>
      <c r="BQ13">
        <f t="shared" si="12"/>
        <v>9</v>
      </c>
      <c r="BR13">
        <f t="shared" si="23"/>
        <v>11</v>
      </c>
      <c r="BS13" s="27">
        <v>0.02</v>
      </c>
      <c r="BT13" s="27">
        <v>0.1</v>
      </c>
      <c r="BU13" s="7"/>
      <c r="BX13">
        <f t="shared" si="13"/>
        <v>19</v>
      </c>
      <c r="BY13">
        <f t="shared" si="24"/>
        <v>11</v>
      </c>
      <c r="BZ13" s="27">
        <v>0.02</v>
      </c>
      <c r="CA13" s="27">
        <v>0.1</v>
      </c>
      <c r="CF13" s="50">
        <f t="shared" si="25"/>
        <v>3.4999999999999996E-2</v>
      </c>
      <c r="CG13" s="42">
        <v>3.4999999999999996E-2</v>
      </c>
      <c r="CH13" s="42">
        <v>3.7499999999999999E-2</v>
      </c>
      <c r="CI13" s="42">
        <v>3.2499999999999994E-2</v>
      </c>
      <c r="CJ13" s="51">
        <f t="shared" si="35"/>
        <v>7.4999999999999997E-2</v>
      </c>
      <c r="CK13" s="51">
        <f t="shared" si="27"/>
        <v>7.4999999999999997E-2</v>
      </c>
      <c r="CL13" s="39">
        <f t="shared" si="14"/>
        <v>0.85422642286090933</v>
      </c>
      <c r="CM13">
        <f t="shared" si="15"/>
        <v>4.2910999999999998E-2</v>
      </c>
      <c r="CN13">
        <f t="shared" si="15"/>
        <v>4.6343880000000004E-2</v>
      </c>
      <c r="CO13">
        <f t="shared" si="15"/>
        <v>4.8661074000000006E-2</v>
      </c>
      <c r="CP13">
        <f t="shared" si="15"/>
        <v>5.0607516960000008E-2</v>
      </c>
      <c r="CQ13">
        <f t="shared" si="15"/>
        <v>5.2125742468800008E-2</v>
      </c>
      <c r="CR13">
        <f t="shared" si="15"/>
        <v>1.0198638449213764</v>
      </c>
      <c r="CU13" s="35">
        <f t="shared" si="28"/>
        <v>0.04</v>
      </c>
      <c r="CV13" s="35">
        <f t="shared" si="29"/>
        <v>0.02</v>
      </c>
      <c r="CX13" s="6">
        <f t="shared" si="16"/>
        <v>3.4999999999999996E-2</v>
      </c>
      <c r="CY13" s="6">
        <f t="shared" si="30"/>
        <v>5.4999999999999993E-2</v>
      </c>
      <c r="DA13" s="6">
        <f t="shared" si="31"/>
        <v>4.2168674698795178E-2</v>
      </c>
      <c r="DB13" s="6">
        <f t="shared" si="31"/>
        <v>6.6265060240963847E-2</v>
      </c>
    </row>
    <row r="14" spans="1:106" x14ac:dyDescent="0.25">
      <c r="A14">
        <f t="shared" si="32"/>
        <v>12</v>
      </c>
      <c r="B14" s="1" t="s">
        <v>61</v>
      </c>
      <c r="C14" s="1" t="s">
        <v>73</v>
      </c>
      <c r="D14" s="3">
        <v>5.1999999999999998E-2</v>
      </c>
      <c r="E14" s="3">
        <v>0.23</v>
      </c>
      <c r="F14" s="2">
        <f t="shared" si="17"/>
        <v>4.0039999999999999E-2</v>
      </c>
      <c r="G14" s="4"/>
      <c r="H14" s="2">
        <f t="shared" si="18"/>
        <v>3.0000000000000006E-2</v>
      </c>
      <c r="I14" s="2">
        <f t="shared" si="18"/>
        <v>4.0000000000000008E-2</v>
      </c>
      <c r="J14" s="6"/>
      <c r="K14" s="2">
        <f t="shared" si="33"/>
        <v>3.8961038961038967E-2</v>
      </c>
      <c r="L14" s="2">
        <f t="shared" si="33"/>
        <v>5.1948051948051958E-2</v>
      </c>
      <c r="M14" s="6"/>
      <c r="N14" s="2">
        <f t="shared" si="0"/>
        <v>8.5000000000000006E-2</v>
      </c>
      <c r="O14" s="2">
        <f t="shared" si="0"/>
        <v>6.0999999999999999E-2</v>
      </c>
      <c r="P14" s="2">
        <f t="shared" si="0"/>
        <v>5.0999999999999997E-2</v>
      </c>
      <c r="Q14" s="2">
        <f t="shared" si="0"/>
        <v>0.04</v>
      </c>
      <c r="R14" s="2">
        <f t="shared" si="0"/>
        <v>0.04</v>
      </c>
      <c r="S14" s="2">
        <f t="shared" si="0"/>
        <v>0.03</v>
      </c>
      <c r="T14" s="2" cm="1">
        <f t="array" ref="T14">+PRODUCT(1+N14:P14)^(0.333333333333333)-1</f>
        <v>6.557154037329993E-2</v>
      </c>
      <c r="U14" s="12" cm="1">
        <f t="array" ref="U14">+PRODUCT(1+N14:S14)^(1/6)-1</f>
        <v>5.101429644705413E-2</v>
      </c>
      <c r="V14" s="6">
        <f t="shared" si="1"/>
        <v>0.21260418331072617</v>
      </c>
      <c r="W14" s="6">
        <f t="shared" si="19"/>
        <v>9.4467704984341205E-2</v>
      </c>
      <c r="X14" s="6"/>
      <c r="Y14" s="6">
        <f t="shared" si="2"/>
        <v>0.29612182047804025</v>
      </c>
      <c r="Z14" s="6">
        <f t="shared" si="3"/>
        <v>0.11437339228360184</v>
      </c>
      <c r="AA14" s="6"/>
      <c r="AB14" s="6">
        <f t="shared" si="4"/>
        <v>0.21760418331072617</v>
      </c>
      <c r="AC14" s="6">
        <f t="shared" si="20"/>
        <v>0.11937339228360185</v>
      </c>
      <c r="AD14" s="6"/>
      <c r="AE14" s="6">
        <f t="shared" si="5"/>
        <v>0.20510418331072616</v>
      </c>
      <c r="AF14" s="6">
        <f t="shared" si="5"/>
        <v>0.10687339228360185</v>
      </c>
      <c r="AH14" s="3">
        <v>8.5000000000000006E-2</v>
      </c>
      <c r="AI14" s="3">
        <v>6.0999999999999999E-2</v>
      </c>
      <c r="AJ14" s="3">
        <v>5.0999999999999997E-2</v>
      </c>
      <c r="AK14" s="3">
        <v>0.04</v>
      </c>
      <c r="AL14" s="3">
        <v>0.04</v>
      </c>
      <c r="AM14" s="3">
        <v>0.03</v>
      </c>
      <c r="AN14" s="2" cm="1">
        <f t="array" ref="AN14">+PRODUCT(1+AH14:AJ14)^(0.333333333333333)-1</f>
        <v>6.557154037329993E-2</v>
      </c>
      <c r="AO14" s="12" cm="1">
        <f t="array" ref="AO14">+PRODUCT(1+AH14:AM14)^(1/6)-1</f>
        <v>5.101429644705413E-2</v>
      </c>
      <c r="AQ14" s="3">
        <v>3.999999999999837E-5</v>
      </c>
      <c r="AR14" s="3">
        <v>3.999999999999837E-5</v>
      </c>
      <c r="AS14" s="40"/>
      <c r="AT14" s="42">
        <v>1.2500000000000001E-2</v>
      </c>
      <c r="AV14" s="15">
        <f t="shared" si="21"/>
        <v>-1</v>
      </c>
      <c r="AW14" s="15">
        <f t="shared" si="6"/>
        <v>4.34434E-2</v>
      </c>
      <c r="AX14" s="15">
        <f t="shared" si="7"/>
        <v>4.6093447400000001E-2</v>
      </c>
      <c r="AY14" s="15">
        <f t="shared" si="8"/>
        <v>1.6632513204640662</v>
      </c>
      <c r="AZ14" s="15"/>
      <c r="BA14" s="15">
        <f t="shared" si="34"/>
        <v>-1</v>
      </c>
      <c r="BB14" s="15">
        <f t="shared" si="9"/>
        <v>4.34434E-2</v>
      </c>
      <c r="BC14" s="15">
        <f t="shared" si="10"/>
        <v>4.6093447400000001E-2</v>
      </c>
      <c r="BD14" s="15">
        <f t="shared" si="10"/>
        <v>4.8444213217400001E-2</v>
      </c>
      <c r="BE14" s="15">
        <f t="shared" si="10"/>
        <v>5.0381981746096004E-2</v>
      </c>
      <c r="BF14" s="15">
        <f t="shared" si="10"/>
        <v>5.2397261015939847E-2</v>
      </c>
      <c r="BG14" s="15">
        <f t="shared" si="11"/>
        <v>1.4031986500068689</v>
      </c>
      <c r="BI14" s="25">
        <v>0.35</v>
      </c>
      <c r="BJ14" s="50">
        <f t="shared" si="22"/>
        <v>5.7500000000000002E-2</v>
      </c>
      <c r="BK14" s="26">
        <v>5.7500000000000002E-2</v>
      </c>
      <c r="BL14" s="26">
        <v>6.0000000000000005E-2</v>
      </c>
      <c r="BM14" s="26">
        <v>5.5E-2</v>
      </c>
      <c r="BN14" s="26">
        <v>5.0000000000000001E-3</v>
      </c>
      <c r="BO14" s="26">
        <v>1.2500000000000001E-2</v>
      </c>
      <c r="BQ14">
        <f t="shared" si="12"/>
        <v>4</v>
      </c>
      <c r="BR14">
        <f t="shared" si="23"/>
        <v>12</v>
      </c>
      <c r="BS14" s="27">
        <v>0.02</v>
      </c>
      <c r="BT14" s="27">
        <v>0.1</v>
      </c>
      <c r="BU14" s="7"/>
      <c r="BX14">
        <f t="shared" si="13"/>
        <v>4</v>
      </c>
      <c r="BY14">
        <f t="shared" si="24"/>
        <v>12</v>
      </c>
      <c r="BZ14" s="27">
        <v>0.02</v>
      </c>
      <c r="CA14" s="27">
        <v>0.1</v>
      </c>
      <c r="CF14" s="50">
        <f t="shared" si="25"/>
        <v>3.0000000000000006E-2</v>
      </c>
      <c r="CG14" s="42">
        <v>3.0000000000000006E-2</v>
      </c>
      <c r="CH14" s="42">
        <v>3.2500000000000008E-2</v>
      </c>
      <c r="CI14" s="42">
        <v>2.7500000000000007E-2</v>
      </c>
      <c r="CJ14" s="51">
        <f t="shared" si="35"/>
        <v>7.0000000000000007E-2</v>
      </c>
      <c r="CK14" s="51">
        <f t="shared" si="27"/>
        <v>7.0000000000000007E-2</v>
      </c>
      <c r="CL14" s="39">
        <f t="shared" si="14"/>
        <v>1.1312112233836416</v>
      </c>
      <c r="CM14">
        <f t="shared" si="15"/>
        <v>4.34434E-2</v>
      </c>
      <c r="CN14">
        <f t="shared" si="15"/>
        <v>4.6093447400000001E-2</v>
      </c>
      <c r="CO14">
        <f t="shared" si="15"/>
        <v>4.8444213217400001E-2</v>
      </c>
      <c r="CP14">
        <f t="shared" si="15"/>
        <v>5.0381981746096004E-2</v>
      </c>
      <c r="CQ14">
        <f t="shared" si="15"/>
        <v>5.2397261015939847E-2</v>
      </c>
      <c r="CR14">
        <f t="shared" si="15"/>
        <v>1.4031986500068689</v>
      </c>
      <c r="CU14" s="35">
        <f t="shared" si="28"/>
        <v>0.04</v>
      </c>
      <c r="CV14" s="35">
        <f t="shared" si="29"/>
        <v>0.03</v>
      </c>
      <c r="CX14" s="6">
        <f t="shared" si="16"/>
        <v>3.0000000000000006E-2</v>
      </c>
      <c r="CY14" s="6">
        <f t="shared" si="30"/>
        <v>4.0000000000000008E-2</v>
      </c>
      <c r="DA14" s="6">
        <f t="shared" si="31"/>
        <v>3.8961038961038967E-2</v>
      </c>
      <c r="DB14" s="6">
        <f t="shared" si="31"/>
        <v>5.1948051948051958E-2</v>
      </c>
    </row>
    <row r="15" spans="1:106" x14ac:dyDescent="0.25">
      <c r="A15">
        <f t="shared" si="32"/>
        <v>13</v>
      </c>
      <c r="B15" s="1" t="s">
        <v>61</v>
      </c>
      <c r="C15" s="1" t="s">
        <v>74</v>
      </c>
      <c r="D15" s="3">
        <v>5.7500000000000002E-2</v>
      </c>
      <c r="E15" s="3">
        <v>0.11</v>
      </c>
      <c r="F15" s="2">
        <f t="shared" si="17"/>
        <v>5.1175000000000005E-2</v>
      </c>
      <c r="G15" s="4"/>
      <c r="H15" s="2">
        <f t="shared" si="18"/>
        <v>4.5000000000000005E-2</v>
      </c>
      <c r="I15" s="2">
        <f t="shared" si="18"/>
        <v>0.05</v>
      </c>
      <c r="J15" s="6"/>
      <c r="K15" s="2">
        <f t="shared" si="33"/>
        <v>5.0561797752808994E-2</v>
      </c>
      <c r="L15" s="2">
        <f t="shared" si="33"/>
        <v>5.6179775280898882E-2</v>
      </c>
      <c r="M15" s="6"/>
      <c r="N15" s="2">
        <f t="shared" si="0"/>
        <v>0.03</v>
      </c>
      <c r="O15" s="2">
        <f t="shared" si="0"/>
        <v>0.03</v>
      </c>
      <c r="P15" s="2">
        <f t="shared" si="0"/>
        <v>0.03</v>
      </c>
      <c r="Q15" s="2">
        <f t="shared" si="0"/>
        <v>2.5000000000000001E-2</v>
      </c>
      <c r="R15" s="2">
        <f t="shared" si="0"/>
        <v>2.5000000000000001E-2</v>
      </c>
      <c r="S15" s="2">
        <f t="shared" si="0"/>
        <v>0.02</v>
      </c>
      <c r="T15" s="2" cm="1">
        <f t="array" ref="T15">+PRODUCT(1+N15:P15)^(0.333333333333333)-1</f>
        <v>3.0000000000000027E-2</v>
      </c>
      <c r="U15" s="12" cm="1">
        <f t="array" ref="U15">+PRODUCT(1+N15:S15)^(1/6)-1</f>
        <v>2.6659892279890851E-2</v>
      </c>
      <c r="V15" s="6">
        <f t="shared" si="1"/>
        <v>0.12570457490932863</v>
      </c>
      <c r="W15" s="6">
        <f t="shared" si="19"/>
        <v>8.3006427236680169E-2</v>
      </c>
      <c r="X15" s="6"/>
      <c r="Y15" s="6">
        <f t="shared" si="2"/>
        <v>0.15493510701332661</v>
      </c>
      <c r="Z15" s="6">
        <f t="shared" si="3"/>
        <v>9.3937753195257392E-2</v>
      </c>
      <c r="AA15" s="6"/>
      <c r="AB15" s="6">
        <f t="shared" si="4"/>
        <v>0.13070457490932863</v>
      </c>
      <c r="AC15" s="6">
        <f t="shared" si="20"/>
        <v>9.8937753195257397E-2</v>
      </c>
      <c r="AD15" s="6"/>
      <c r="AE15" s="6">
        <f t="shared" si="5"/>
        <v>0.11820457490932863</v>
      </c>
      <c r="AF15" s="6">
        <f t="shared" si="5"/>
        <v>8.64377531952574E-2</v>
      </c>
      <c r="AH15" s="3">
        <v>0.03</v>
      </c>
      <c r="AI15" s="3">
        <v>0.03</v>
      </c>
      <c r="AJ15" s="3">
        <v>0.03</v>
      </c>
      <c r="AK15" s="3">
        <v>2.5000000000000001E-2</v>
      </c>
      <c r="AL15" s="3">
        <v>2.5000000000000001E-2</v>
      </c>
      <c r="AM15" s="3">
        <v>0.02</v>
      </c>
      <c r="AN15" s="2" cm="1">
        <f t="array" ref="AN15">+PRODUCT(1+AH15:AJ15)^(0.333333333333333)-1</f>
        <v>3.0000000000000027E-2</v>
      </c>
      <c r="AO15" s="12" cm="1">
        <f t="array" ref="AO15">+PRODUCT(1+AH15:AM15)^(1/6)-1</f>
        <v>2.6659892279890851E-2</v>
      </c>
      <c r="AQ15" s="3">
        <v>1.1175000000000004E-2</v>
      </c>
      <c r="AR15" s="3">
        <v>1.1175000000000004E-2</v>
      </c>
      <c r="AS15" s="40"/>
      <c r="AT15" s="42">
        <v>1.4999999999999999E-2</v>
      </c>
      <c r="AV15" s="15">
        <f t="shared" si="21"/>
        <v>-1</v>
      </c>
      <c r="AW15" s="15">
        <f t="shared" si="6"/>
        <v>5.2710250000000007E-2</v>
      </c>
      <c r="AX15" s="15">
        <f t="shared" si="7"/>
        <v>5.4291557500000011E-2</v>
      </c>
      <c r="AY15" s="15">
        <f t="shared" si="8"/>
        <v>1.2985937314472225</v>
      </c>
      <c r="AZ15" s="15"/>
      <c r="BA15" s="15">
        <f t="shared" si="34"/>
        <v>-1</v>
      </c>
      <c r="BB15" s="15">
        <f t="shared" si="9"/>
        <v>5.2710250000000007E-2</v>
      </c>
      <c r="BC15" s="15">
        <f t="shared" si="10"/>
        <v>5.4291557500000011E-2</v>
      </c>
      <c r="BD15" s="15">
        <f t="shared" si="10"/>
        <v>5.5920304225000016E-2</v>
      </c>
      <c r="BE15" s="15">
        <f t="shared" si="10"/>
        <v>5.731831183062501E-2</v>
      </c>
      <c r="BF15" s="15">
        <f t="shared" si="10"/>
        <v>5.8751269626390629E-2</v>
      </c>
      <c r="BG15" s="15">
        <f t="shared" si="11"/>
        <v>1.2584521953972874</v>
      </c>
      <c r="BI15" s="25">
        <v>0.3</v>
      </c>
      <c r="BJ15" s="50">
        <f t="shared" si="22"/>
        <v>5.7500000000000002E-2</v>
      </c>
      <c r="BK15" s="26">
        <v>5.7500000000000002E-2</v>
      </c>
      <c r="BL15" s="26">
        <v>6.0000000000000005E-2</v>
      </c>
      <c r="BM15" s="26">
        <v>5.5E-2</v>
      </c>
      <c r="BN15" s="26">
        <v>5.0000000000000001E-3</v>
      </c>
      <c r="BO15" s="26">
        <v>1.2500000000000001E-2</v>
      </c>
      <c r="BQ15">
        <f t="shared" si="12"/>
        <v>11</v>
      </c>
      <c r="BR15">
        <f t="shared" si="23"/>
        <v>13</v>
      </c>
      <c r="BS15" s="27">
        <v>0.02</v>
      </c>
      <c r="BT15" s="27">
        <v>0.1</v>
      </c>
      <c r="BU15" s="7"/>
      <c r="BX15">
        <f t="shared" si="13"/>
        <v>6</v>
      </c>
      <c r="BY15">
        <f t="shared" si="24"/>
        <v>13</v>
      </c>
      <c r="BZ15" s="27">
        <v>0.02</v>
      </c>
      <c r="CA15" s="27">
        <v>0.1</v>
      </c>
      <c r="CF15" s="50">
        <f t="shared" si="25"/>
        <v>3.0000000000000006E-2</v>
      </c>
      <c r="CG15" s="42">
        <v>3.0000000000000006E-2</v>
      </c>
      <c r="CH15" s="42">
        <v>3.2500000000000008E-2</v>
      </c>
      <c r="CI15" s="42">
        <v>2.7500000000000007E-2</v>
      </c>
      <c r="CJ15" s="51">
        <f t="shared" si="35"/>
        <v>7.0000000000000007E-2</v>
      </c>
      <c r="CK15" s="51">
        <f t="shared" si="27"/>
        <v>7.0000000000000007E-2</v>
      </c>
      <c r="CL15" s="39">
        <f t="shared" si="14"/>
        <v>1.0665064338173471</v>
      </c>
      <c r="CM15">
        <f t="shared" si="15"/>
        <v>5.2710250000000007E-2</v>
      </c>
      <c r="CN15">
        <f t="shared" si="15"/>
        <v>5.4291557500000011E-2</v>
      </c>
      <c r="CO15">
        <f t="shared" si="15"/>
        <v>5.5920304225000016E-2</v>
      </c>
      <c r="CP15">
        <f t="shared" si="15"/>
        <v>5.731831183062501E-2</v>
      </c>
      <c r="CQ15">
        <f t="shared" si="15"/>
        <v>5.8751269626390629E-2</v>
      </c>
      <c r="CR15">
        <f t="shared" si="15"/>
        <v>1.2584521953972874</v>
      </c>
      <c r="CU15" s="35">
        <f t="shared" si="28"/>
        <v>2.5000000000000001E-2</v>
      </c>
      <c r="CV15" s="35">
        <f t="shared" si="29"/>
        <v>0.02</v>
      </c>
      <c r="CX15" s="6">
        <f t="shared" si="16"/>
        <v>4.5000000000000005E-2</v>
      </c>
      <c r="CY15" s="6">
        <f t="shared" si="30"/>
        <v>0.05</v>
      </c>
      <c r="DA15" s="6">
        <f t="shared" si="31"/>
        <v>5.0561797752808994E-2</v>
      </c>
      <c r="DB15" s="6">
        <f t="shared" si="31"/>
        <v>5.6179775280898882E-2</v>
      </c>
    </row>
    <row r="16" spans="1:106" x14ac:dyDescent="0.25">
      <c r="A16">
        <f t="shared" si="32"/>
        <v>14</v>
      </c>
      <c r="B16" s="1" t="s">
        <v>61</v>
      </c>
      <c r="C16" s="1" t="s">
        <v>75</v>
      </c>
      <c r="D16" s="3">
        <v>5.6000000000000001E-2</v>
      </c>
      <c r="E16" s="3">
        <v>7.0000000000000007E-2</v>
      </c>
      <c r="F16" s="2">
        <f t="shared" si="17"/>
        <v>5.2079999999999994E-2</v>
      </c>
      <c r="G16" s="4"/>
      <c r="H16" s="2">
        <f t="shared" si="18"/>
        <v>4.0000000000000008E-2</v>
      </c>
      <c r="I16" s="2">
        <f t="shared" si="18"/>
        <v>4.0000000000000008E-2</v>
      </c>
      <c r="J16" s="6"/>
      <c r="K16" s="2">
        <f t="shared" si="33"/>
        <v>4.3010752688172053E-2</v>
      </c>
      <c r="L16" s="2">
        <f t="shared" si="33"/>
        <v>4.3010752688172053E-2</v>
      </c>
      <c r="M16" s="6"/>
      <c r="N16" s="2">
        <f t="shared" si="0"/>
        <v>0.03</v>
      </c>
      <c r="O16" s="2">
        <f t="shared" si="0"/>
        <v>3.5000000000000003E-2</v>
      </c>
      <c r="P16" s="2">
        <f t="shared" si="0"/>
        <v>0.03</v>
      </c>
      <c r="Q16" s="2">
        <f t="shared" si="0"/>
        <v>0.03</v>
      </c>
      <c r="R16" s="2">
        <f t="shared" si="0"/>
        <v>0.03</v>
      </c>
      <c r="S16" s="2">
        <f t="shared" si="0"/>
        <v>0.03</v>
      </c>
      <c r="T16" s="2" cm="1">
        <f t="array" ref="T16">+PRODUCT(1+N16:P16)^(0.333333333333333)-1</f>
        <v>3.1663977044700253E-2</v>
      </c>
      <c r="U16" s="12" cm="1">
        <f t="array" ref="U16">+PRODUCT(1+N16:S16)^(1/6)-1</f>
        <v>3.0831652771703189E-2</v>
      </c>
      <c r="V16" s="6">
        <f t="shared" si="1"/>
        <v>0.17597989824321969</v>
      </c>
      <c r="W16" s="6">
        <f t="shared" si="19"/>
        <v>0.12574667509010595</v>
      </c>
      <c r="X16" s="6"/>
      <c r="Y16" s="6">
        <f t="shared" si="2"/>
        <v>0.22675699749031389</v>
      </c>
      <c r="Z16" s="6">
        <f t="shared" si="3"/>
        <v>0.15499525012872278</v>
      </c>
      <c r="AA16" s="6"/>
      <c r="AB16" s="6">
        <f t="shared" si="4"/>
        <v>0.18097989824321969</v>
      </c>
      <c r="AC16" s="6">
        <f t="shared" si="20"/>
        <v>0.15999525012872279</v>
      </c>
      <c r="AD16" s="6"/>
      <c r="AE16" s="6">
        <f t="shared" si="5"/>
        <v>0.16847989824321968</v>
      </c>
      <c r="AF16" s="6">
        <f t="shared" si="5"/>
        <v>0.14749525012872278</v>
      </c>
      <c r="AH16" s="3">
        <v>0.03</v>
      </c>
      <c r="AI16" s="3">
        <v>3.5000000000000003E-2</v>
      </c>
      <c r="AJ16" s="3">
        <v>0.03</v>
      </c>
      <c r="AK16" s="3">
        <v>0.03</v>
      </c>
      <c r="AL16" s="3">
        <v>0.03</v>
      </c>
      <c r="AM16" s="3">
        <v>0.03</v>
      </c>
      <c r="AN16" s="2" cm="1">
        <f t="array" ref="AN16">+PRODUCT(1+AH16:AJ16)^(0.333333333333333)-1</f>
        <v>3.1663977044700253E-2</v>
      </c>
      <c r="AO16" s="12" cm="1">
        <f t="array" ref="AO16">+PRODUCT(1+AH16:AM16)^(1/6)-1</f>
        <v>3.0831652771703189E-2</v>
      </c>
      <c r="AQ16" s="3">
        <v>1.2079999999999994E-2</v>
      </c>
      <c r="AR16" s="3">
        <v>1.2079999999999994E-2</v>
      </c>
      <c r="AS16" s="40"/>
      <c r="AT16" s="42">
        <v>0.01</v>
      </c>
      <c r="AV16" s="15">
        <f t="shared" si="21"/>
        <v>-1</v>
      </c>
      <c r="AW16" s="15">
        <f t="shared" si="6"/>
        <v>5.3642399999999993E-2</v>
      </c>
      <c r="AX16" s="15">
        <f t="shared" si="7"/>
        <v>5.5519883999999992E-2</v>
      </c>
      <c r="AY16" s="15">
        <f t="shared" si="8"/>
        <v>1.4868224935199996</v>
      </c>
      <c r="AZ16" s="15"/>
      <c r="BA16" s="15">
        <f t="shared" si="34"/>
        <v>-1</v>
      </c>
      <c r="BB16" s="15">
        <f t="shared" si="9"/>
        <v>5.3642399999999993E-2</v>
      </c>
      <c r="BC16" s="15">
        <f t="shared" si="10"/>
        <v>5.5519883999999992E-2</v>
      </c>
      <c r="BD16" s="15">
        <f t="shared" si="10"/>
        <v>5.7185480519999991E-2</v>
      </c>
      <c r="BE16" s="15">
        <f t="shared" si="10"/>
        <v>5.8901044935599993E-2</v>
      </c>
      <c r="BF16" s="15">
        <f t="shared" si="10"/>
        <v>6.0668076283667993E-2</v>
      </c>
      <c r="BG16" s="15">
        <f t="shared" si="11"/>
        <v>1.6246910828766286</v>
      </c>
      <c r="BI16" s="25">
        <v>0.3</v>
      </c>
      <c r="BJ16" s="50">
        <f t="shared" si="22"/>
        <v>5.7500000000000002E-2</v>
      </c>
      <c r="BK16" s="26">
        <v>5.7500000000000002E-2</v>
      </c>
      <c r="BL16" s="26">
        <v>6.0000000000000005E-2</v>
      </c>
      <c r="BM16" s="26">
        <v>5.5E-2</v>
      </c>
      <c r="BN16" s="26">
        <v>5.0000000000000001E-3</v>
      </c>
      <c r="BO16" s="26">
        <v>1.2500000000000001E-2</v>
      </c>
      <c r="BQ16">
        <f t="shared" si="12"/>
        <v>8</v>
      </c>
      <c r="BR16">
        <f t="shared" si="23"/>
        <v>14</v>
      </c>
      <c r="BS16" s="27">
        <v>0.01</v>
      </c>
      <c r="BT16" s="27">
        <v>7.0000000000000007E-2</v>
      </c>
      <c r="BU16" s="7"/>
      <c r="BX16">
        <f t="shared" si="13"/>
        <v>1</v>
      </c>
      <c r="BY16">
        <f t="shared" si="24"/>
        <v>14</v>
      </c>
      <c r="BZ16" s="27">
        <v>0.01</v>
      </c>
      <c r="CA16" s="27">
        <v>7.0000000000000007E-2</v>
      </c>
      <c r="CF16" s="50">
        <f t="shared" si="25"/>
        <v>3.0000000000000006E-2</v>
      </c>
      <c r="CG16" s="42">
        <v>3.0000000000000006E-2</v>
      </c>
      <c r="CH16" s="42">
        <v>3.2500000000000008E-2</v>
      </c>
      <c r="CI16" s="42">
        <v>2.7500000000000007E-2</v>
      </c>
      <c r="CJ16" s="51">
        <f t="shared" si="35"/>
        <v>7.0000000000000007E-2</v>
      </c>
      <c r="CK16" s="51">
        <f t="shared" si="27"/>
        <v>7.0000000000000007E-2</v>
      </c>
      <c r="CL16" s="39">
        <f t="shared" si="14"/>
        <v>1.3160977815953967</v>
      </c>
      <c r="CM16">
        <f t="shared" si="15"/>
        <v>5.3642399999999993E-2</v>
      </c>
      <c r="CN16">
        <f t="shared" si="15"/>
        <v>5.5519883999999992E-2</v>
      </c>
      <c r="CO16">
        <f t="shared" si="15"/>
        <v>5.7185480519999991E-2</v>
      </c>
      <c r="CP16">
        <f t="shared" si="15"/>
        <v>5.8901044935599993E-2</v>
      </c>
      <c r="CQ16">
        <f t="shared" si="15"/>
        <v>6.0668076283667993E-2</v>
      </c>
      <c r="CR16">
        <f t="shared" si="15"/>
        <v>1.6246910828766286</v>
      </c>
      <c r="CU16" s="35">
        <f t="shared" si="28"/>
        <v>0.03</v>
      </c>
      <c r="CV16" s="35">
        <f t="shared" si="29"/>
        <v>0.03</v>
      </c>
      <c r="CX16" s="6">
        <f t="shared" si="16"/>
        <v>4.0000000000000008E-2</v>
      </c>
      <c r="CY16" s="6">
        <f t="shared" si="30"/>
        <v>4.0000000000000008E-2</v>
      </c>
      <c r="DA16" s="6">
        <f t="shared" si="31"/>
        <v>4.3010752688172053E-2</v>
      </c>
      <c r="DB16" s="6">
        <f t="shared" si="31"/>
        <v>4.3010752688172053E-2</v>
      </c>
    </row>
    <row r="17" spans="1:106" x14ac:dyDescent="0.25">
      <c r="A17">
        <f t="shared" si="32"/>
        <v>15</v>
      </c>
      <c r="B17" s="1" t="s">
        <v>61</v>
      </c>
      <c r="C17" s="1" t="s">
        <v>76</v>
      </c>
      <c r="D17" s="3">
        <v>0.04</v>
      </c>
      <c r="E17" s="3">
        <v>0.153</v>
      </c>
      <c r="F17" s="2">
        <f t="shared" si="17"/>
        <v>3.388E-2</v>
      </c>
      <c r="G17" s="4"/>
      <c r="H17" s="2">
        <f t="shared" si="18"/>
        <v>4.0000000000000008E-2</v>
      </c>
      <c r="I17" s="2">
        <f t="shared" si="18"/>
        <v>4.0000000000000008E-2</v>
      </c>
      <c r="J17" s="6"/>
      <c r="K17" s="2">
        <f t="shared" si="33"/>
        <v>4.722550177095633E-2</v>
      </c>
      <c r="L17" s="2">
        <f t="shared" si="33"/>
        <v>4.722550177095633E-2</v>
      </c>
      <c r="M17" s="6"/>
      <c r="N17" s="2">
        <f t="shared" si="0"/>
        <v>0.05</v>
      </c>
      <c r="O17" s="2">
        <f t="shared" si="0"/>
        <v>0.05</v>
      </c>
      <c r="P17" s="2">
        <f t="shared" si="0"/>
        <v>0.04</v>
      </c>
      <c r="Q17" s="2">
        <f t="shared" si="0"/>
        <v>0.03</v>
      </c>
      <c r="R17" s="2">
        <f t="shared" si="0"/>
        <v>0.03</v>
      </c>
      <c r="S17" s="2">
        <f t="shared" si="0"/>
        <v>0.03</v>
      </c>
      <c r="T17" s="2" cm="1">
        <f t="array" ref="T17">+PRODUCT(1+N17:P17)^(0.333333333333333)-1</f>
        <v>4.665602830862059E-2</v>
      </c>
      <c r="U17" s="12" cm="1">
        <f t="array" ref="U17">+PRODUCT(1+N17:S17)^(1/6)-1</f>
        <v>3.8294615780068098E-2</v>
      </c>
      <c r="V17" s="6">
        <f t="shared" si="1"/>
        <v>2.7880916868120664E-2</v>
      </c>
      <c r="W17" s="6">
        <f t="shared" si="19"/>
        <v>4.810060807002392E-2</v>
      </c>
      <c r="X17" s="6"/>
      <c r="Y17" s="6">
        <f t="shared" si="2"/>
        <v>1.6925913517973509E-2</v>
      </c>
      <c r="Z17" s="6">
        <f t="shared" si="3"/>
        <v>4.4624120643868379E-2</v>
      </c>
      <c r="AA17" s="6"/>
      <c r="AB17" s="6">
        <f t="shared" si="4"/>
        <v>3.2880916868120662E-2</v>
      </c>
      <c r="AC17" s="6">
        <f t="shared" si="20"/>
        <v>4.9624120643868376E-2</v>
      </c>
      <c r="AD17" s="6"/>
      <c r="AE17" s="6">
        <f t="shared" si="5"/>
        <v>2.0380916868120661E-2</v>
      </c>
      <c r="AF17" s="6">
        <f t="shared" si="5"/>
        <v>3.7124120643868372E-2</v>
      </c>
      <c r="AH17" s="3">
        <v>0.05</v>
      </c>
      <c r="AI17" s="3">
        <v>0.05</v>
      </c>
      <c r="AJ17" s="3">
        <v>0.04</v>
      </c>
      <c r="AK17" s="3">
        <v>0.03</v>
      </c>
      <c r="AL17" s="3">
        <v>0.03</v>
      </c>
      <c r="AM17" s="3">
        <v>0.03</v>
      </c>
      <c r="AN17" s="2" cm="1">
        <f t="array" ref="AN17">+PRODUCT(1+AH17:AJ17)^(0.333333333333333)-1</f>
        <v>4.665602830862059E-2</v>
      </c>
      <c r="AO17" s="12" cm="1">
        <f t="array" ref="AO17">+PRODUCT(1+AH17:AM17)^(1/6)-1</f>
        <v>3.8294615780068098E-2</v>
      </c>
      <c r="AQ17" s="3">
        <v>-6.1200000000000004E-3</v>
      </c>
      <c r="AR17" s="3">
        <v>-3.0000000000000001E-3</v>
      </c>
      <c r="AS17" s="40"/>
      <c r="AT17" s="42">
        <v>1.2500000000000001E-2</v>
      </c>
      <c r="AV17" s="15">
        <f t="shared" si="21"/>
        <v>-1</v>
      </c>
      <c r="AW17" s="15">
        <f t="shared" si="6"/>
        <v>3.5574000000000001E-2</v>
      </c>
      <c r="AX17" s="15">
        <f t="shared" si="7"/>
        <v>3.7352700000000003E-2</v>
      </c>
      <c r="AY17" s="15">
        <f t="shared" si="8"/>
        <v>1.0100170079999999</v>
      </c>
      <c r="AZ17" s="15"/>
      <c r="BA17" s="15">
        <f t="shared" si="34"/>
        <v>-1</v>
      </c>
      <c r="BB17" s="15">
        <f t="shared" si="9"/>
        <v>3.5574000000000001E-2</v>
      </c>
      <c r="BC17" s="15">
        <f t="shared" si="10"/>
        <v>3.7352700000000003E-2</v>
      </c>
      <c r="BD17" s="15">
        <f t="shared" si="10"/>
        <v>3.8846808000000004E-2</v>
      </c>
      <c r="BE17" s="15">
        <f t="shared" si="10"/>
        <v>4.0012212240000004E-2</v>
      </c>
      <c r="BF17" s="15">
        <f t="shared" si="10"/>
        <v>4.1212578607200005E-2</v>
      </c>
      <c r="BG17" s="15">
        <f t="shared" si="11"/>
        <v>1.1036728551008159</v>
      </c>
      <c r="BI17" s="25">
        <v>0.27</v>
      </c>
      <c r="BJ17" s="50">
        <f t="shared" si="22"/>
        <v>5.7500000000000002E-2</v>
      </c>
      <c r="BK17" s="26">
        <v>5.7500000000000002E-2</v>
      </c>
      <c r="BL17" s="26">
        <v>6.0000000000000005E-2</v>
      </c>
      <c r="BM17" s="26">
        <v>5.5E-2</v>
      </c>
      <c r="BN17" s="26">
        <v>5.0000000000000001E-3</v>
      </c>
      <c r="BO17" s="26">
        <v>1.2500000000000001E-2</v>
      </c>
      <c r="BQ17">
        <f t="shared" si="12"/>
        <v>17</v>
      </c>
      <c r="BR17">
        <f t="shared" si="23"/>
        <v>15</v>
      </c>
      <c r="BS17" s="27">
        <v>0.01</v>
      </c>
      <c r="BT17" s="27">
        <v>7.0000000000000007E-2</v>
      </c>
      <c r="BU17" s="7"/>
      <c r="BX17">
        <f t="shared" si="13"/>
        <v>18</v>
      </c>
      <c r="BY17">
        <f t="shared" si="24"/>
        <v>15</v>
      </c>
      <c r="BZ17" s="27">
        <v>0.01</v>
      </c>
      <c r="CA17" s="27">
        <v>7.0000000000000007E-2</v>
      </c>
      <c r="CF17" s="50">
        <f t="shared" si="25"/>
        <v>3.0000000000000006E-2</v>
      </c>
      <c r="CG17" s="42">
        <v>3.0000000000000006E-2</v>
      </c>
      <c r="CH17" s="42">
        <v>3.2500000000000008E-2</v>
      </c>
      <c r="CI17" s="42">
        <v>2.7500000000000007E-2</v>
      </c>
      <c r="CJ17" s="51">
        <f t="shared" si="35"/>
        <v>7.0000000000000007E-2</v>
      </c>
      <c r="CK17" s="51">
        <f t="shared" si="27"/>
        <v>7.0000000000000007E-2</v>
      </c>
      <c r="CL17" s="39">
        <f t="shared" si="14"/>
        <v>0.89291553939486035</v>
      </c>
      <c r="CM17">
        <f t="shared" si="15"/>
        <v>3.5574000000000001E-2</v>
      </c>
      <c r="CN17">
        <f t="shared" si="15"/>
        <v>3.7352700000000003E-2</v>
      </c>
      <c r="CO17">
        <f t="shared" si="15"/>
        <v>3.8846808000000004E-2</v>
      </c>
      <c r="CP17">
        <f t="shared" si="15"/>
        <v>4.0012212240000004E-2</v>
      </c>
      <c r="CQ17">
        <f t="shared" si="15"/>
        <v>4.1212578607200005E-2</v>
      </c>
      <c r="CR17">
        <f t="shared" si="15"/>
        <v>1.1036728551008159</v>
      </c>
      <c r="CU17" s="35">
        <f t="shared" si="28"/>
        <v>0.03</v>
      </c>
      <c r="CV17" s="35">
        <f t="shared" si="29"/>
        <v>0.03</v>
      </c>
      <c r="CX17" s="6">
        <f t="shared" si="16"/>
        <v>4.0000000000000008E-2</v>
      </c>
      <c r="CY17" s="6">
        <f t="shared" si="30"/>
        <v>4.0000000000000008E-2</v>
      </c>
      <c r="DA17" s="6">
        <f t="shared" si="31"/>
        <v>4.722550177095633E-2</v>
      </c>
      <c r="DB17" s="6">
        <f t="shared" si="31"/>
        <v>4.722550177095633E-2</v>
      </c>
    </row>
    <row r="18" spans="1:106" x14ac:dyDescent="0.25">
      <c r="A18">
        <f t="shared" si="32"/>
        <v>16</v>
      </c>
      <c r="B18" s="1" t="s">
        <v>61</v>
      </c>
      <c r="C18" s="1" t="s">
        <v>77</v>
      </c>
      <c r="D18" s="3">
        <v>5.6000000000000001E-2</v>
      </c>
      <c r="E18" s="3">
        <v>0.13</v>
      </c>
      <c r="F18" s="2">
        <f t="shared" si="17"/>
        <v>4.8719999999999999E-2</v>
      </c>
      <c r="G18" s="4"/>
      <c r="H18" s="2">
        <f t="shared" si="18"/>
        <v>4.5000000000000005E-2</v>
      </c>
      <c r="I18" s="2">
        <f t="shared" si="18"/>
        <v>4.8000000000000008E-2</v>
      </c>
      <c r="J18" s="6"/>
      <c r="K18" s="2">
        <f t="shared" si="33"/>
        <v>5.1724137931034489E-2</v>
      </c>
      <c r="L18" s="2">
        <f t="shared" si="33"/>
        <v>5.5172413793103454E-2</v>
      </c>
      <c r="M18" s="6"/>
      <c r="N18" s="2">
        <f t="shared" si="0"/>
        <v>2.5000000000000001E-2</v>
      </c>
      <c r="O18" s="2">
        <f t="shared" si="0"/>
        <v>2.5000000000000001E-2</v>
      </c>
      <c r="P18" s="2">
        <f t="shared" si="0"/>
        <v>2.5000000000000001E-2</v>
      </c>
      <c r="Q18" s="2">
        <f t="shared" si="0"/>
        <v>2.5000000000000001E-2</v>
      </c>
      <c r="R18" s="2">
        <f t="shared" si="0"/>
        <v>2.3E-2</v>
      </c>
      <c r="S18" s="2">
        <f t="shared" si="0"/>
        <v>2.1999999999999999E-2</v>
      </c>
      <c r="T18" s="2" cm="1">
        <f t="array" ref="T18">+PRODUCT(1+N18:P18)^(0.333333333333333)-1</f>
        <v>2.4999999999999911E-2</v>
      </c>
      <c r="U18" s="12" cm="1">
        <f t="array" ref="U18">+PRODUCT(1+N18:S18)^(1/6)-1</f>
        <v>2.416594742417022E-2</v>
      </c>
      <c r="V18" s="6">
        <f t="shared" si="1"/>
        <v>0.10118341756082816</v>
      </c>
      <c r="W18" s="6">
        <f t="shared" si="19"/>
        <v>7.6401792551863412E-2</v>
      </c>
      <c r="X18" s="6"/>
      <c r="Y18" s="6">
        <f t="shared" si="2"/>
        <v>0.11990488222975453</v>
      </c>
      <c r="Z18" s="6">
        <f t="shared" si="3"/>
        <v>8.4502560788376313E-2</v>
      </c>
      <c r="AA18" s="6"/>
      <c r="AB18" s="6">
        <f t="shared" si="4"/>
        <v>0.10618341756082816</v>
      </c>
      <c r="AC18" s="6">
        <f t="shared" si="20"/>
        <v>8.9502560788376317E-2</v>
      </c>
      <c r="AD18" s="6"/>
      <c r="AE18" s="6">
        <f t="shared" si="5"/>
        <v>9.3683417560828167E-2</v>
      </c>
      <c r="AF18" s="6">
        <f t="shared" si="5"/>
        <v>7.700256078837632E-2</v>
      </c>
      <c r="AH18" s="3">
        <v>2.5000000000000001E-2</v>
      </c>
      <c r="AI18" s="3">
        <v>2.5000000000000001E-2</v>
      </c>
      <c r="AJ18" s="3">
        <v>2.5000000000000001E-2</v>
      </c>
      <c r="AK18" s="3">
        <v>2.5000000000000001E-2</v>
      </c>
      <c r="AL18" s="3">
        <v>2.3E-2</v>
      </c>
      <c r="AM18" s="3">
        <v>2.1999999999999999E-2</v>
      </c>
      <c r="AN18" s="2" cm="1">
        <f t="array" ref="AN18">+PRODUCT(1+AH18:AJ18)^(0.333333333333333)-1</f>
        <v>2.4999999999999911E-2</v>
      </c>
      <c r="AO18" s="12" cm="1">
        <f t="array" ref="AO18">+PRODUCT(1+AH18:AM18)^(1/6)-1</f>
        <v>2.416594742417022E-2</v>
      </c>
      <c r="AQ18" s="3">
        <v>8.7199999999999986E-3</v>
      </c>
      <c r="AR18" s="3">
        <v>8.7199999999999986E-3</v>
      </c>
      <c r="AS18" s="40"/>
      <c r="AT18" s="42">
        <v>1.4999999999999999E-2</v>
      </c>
      <c r="AV18" s="15">
        <f t="shared" si="21"/>
        <v>-1</v>
      </c>
      <c r="AW18" s="15">
        <f t="shared" si="6"/>
        <v>4.9937999999999996E-2</v>
      </c>
      <c r="AX18" s="15">
        <f t="shared" si="7"/>
        <v>5.1186449999999994E-2</v>
      </c>
      <c r="AY18" s="15">
        <f t="shared" si="8"/>
        <v>1.218379694583333</v>
      </c>
      <c r="AZ18" s="15"/>
      <c r="BA18" s="15">
        <f t="shared" si="34"/>
        <v>-1</v>
      </c>
      <c r="BB18" s="15">
        <f t="shared" si="9"/>
        <v>4.9937999999999996E-2</v>
      </c>
      <c r="BC18" s="15">
        <f t="shared" si="10"/>
        <v>5.1186449999999994E-2</v>
      </c>
      <c r="BD18" s="15">
        <f t="shared" si="10"/>
        <v>5.2466111249999989E-2</v>
      </c>
      <c r="BE18" s="15">
        <f t="shared" si="10"/>
        <v>5.3777764031249981E-2</v>
      </c>
      <c r="BF18" s="15">
        <f t="shared" si="10"/>
        <v>5.5014652603968726E-2</v>
      </c>
      <c r="BG18" s="15">
        <f t="shared" si="11"/>
        <v>1.2275786199874232</v>
      </c>
      <c r="BI18" s="25">
        <v>0.3</v>
      </c>
      <c r="BJ18" s="50">
        <f t="shared" si="22"/>
        <v>5.7500000000000002E-2</v>
      </c>
      <c r="BK18" s="26">
        <v>5.7500000000000002E-2</v>
      </c>
      <c r="BL18" s="26">
        <v>6.0000000000000005E-2</v>
      </c>
      <c r="BM18" s="26">
        <v>5.5E-2</v>
      </c>
      <c r="BN18" s="26">
        <v>5.0000000000000001E-3</v>
      </c>
      <c r="BO18" s="26">
        <v>1.2500000000000001E-2</v>
      </c>
      <c r="BQ18">
        <f t="shared" si="12"/>
        <v>12</v>
      </c>
      <c r="BR18">
        <f t="shared" si="23"/>
        <v>16</v>
      </c>
      <c r="BS18" s="27">
        <v>0.01</v>
      </c>
      <c r="BT18" s="27">
        <v>7.0000000000000007E-2</v>
      </c>
      <c r="BU18" s="7"/>
      <c r="BX18">
        <f t="shared" si="13"/>
        <v>10</v>
      </c>
      <c r="BY18">
        <f t="shared" si="24"/>
        <v>16</v>
      </c>
      <c r="BZ18" s="27">
        <v>0.01</v>
      </c>
      <c r="CA18" s="27">
        <v>7.0000000000000007E-2</v>
      </c>
      <c r="CF18" s="50">
        <f t="shared" si="25"/>
        <v>3.0000000000000006E-2</v>
      </c>
      <c r="CG18" s="42">
        <v>3.0000000000000006E-2</v>
      </c>
      <c r="CH18" s="42">
        <v>3.2500000000000008E-2</v>
      </c>
      <c r="CI18" s="42">
        <v>2.7500000000000007E-2</v>
      </c>
      <c r="CJ18" s="51">
        <f t="shared" si="35"/>
        <v>7.0000000000000007E-2</v>
      </c>
      <c r="CK18" s="51">
        <f t="shared" si="27"/>
        <v>7.0000000000000007E-2</v>
      </c>
      <c r="CL18" s="39">
        <f t="shared" si="14"/>
        <v>1.0324461842741099</v>
      </c>
      <c r="CM18">
        <f t="shared" si="15"/>
        <v>4.9937999999999996E-2</v>
      </c>
      <c r="CN18">
        <f t="shared" si="15"/>
        <v>5.1186449999999994E-2</v>
      </c>
      <c r="CO18">
        <f t="shared" si="15"/>
        <v>5.2466111249999989E-2</v>
      </c>
      <c r="CP18">
        <f t="shared" si="15"/>
        <v>5.3777764031249981E-2</v>
      </c>
      <c r="CQ18">
        <f t="shared" si="15"/>
        <v>5.5014652603968726E-2</v>
      </c>
      <c r="CR18">
        <f t="shared" si="15"/>
        <v>1.2275786199874232</v>
      </c>
      <c r="CU18" s="35">
        <f t="shared" si="28"/>
        <v>2.5000000000000001E-2</v>
      </c>
      <c r="CV18" s="35">
        <f t="shared" si="29"/>
        <v>2.1999999999999999E-2</v>
      </c>
      <c r="CX18" s="6">
        <f t="shared" si="16"/>
        <v>4.5000000000000005E-2</v>
      </c>
      <c r="CY18" s="6">
        <f t="shared" si="30"/>
        <v>4.8000000000000008E-2</v>
      </c>
      <c r="DA18" s="6">
        <f t="shared" si="31"/>
        <v>5.1724137931034489E-2</v>
      </c>
      <c r="DB18" s="6">
        <f t="shared" si="31"/>
        <v>5.5172413793103454E-2</v>
      </c>
    </row>
    <row r="19" spans="1:106" x14ac:dyDescent="0.25">
      <c r="A19">
        <f t="shared" si="32"/>
        <v>17</v>
      </c>
      <c r="B19" s="1" t="s">
        <v>61</v>
      </c>
      <c r="C19" s="1" t="s">
        <v>78</v>
      </c>
      <c r="D19" s="3">
        <v>5.2999999999999999E-2</v>
      </c>
      <c r="E19" s="3">
        <v>0.14000000000000001</v>
      </c>
      <c r="F19" s="2">
        <f t="shared" si="17"/>
        <v>4.5579999999999996E-2</v>
      </c>
      <c r="G19" s="4"/>
      <c r="H19" s="2">
        <f t="shared" si="18"/>
        <v>4.9999999999999996E-2</v>
      </c>
      <c r="I19" s="2">
        <f t="shared" si="18"/>
        <v>4.9999999999999996E-2</v>
      </c>
      <c r="J19" s="6"/>
      <c r="K19" s="2">
        <f t="shared" si="33"/>
        <v>5.8139534883720929E-2</v>
      </c>
      <c r="L19" s="2">
        <f t="shared" si="33"/>
        <v>5.8139534883720929E-2</v>
      </c>
      <c r="M19" s="6"/>
      <c r="N19" s="2">
        <f t="shared" si="0"/>
        <v>3.9E-2</v>
      </c>
      <c r="O19" s="2">
        <f t="shared" si="0"/>
        <v>2.8000000000000001E-2</v>
      </c>
      <c r="P19" s="2">
        <f t="shared" si="0"/>
        <v>2.4E-2</v>
      </c>
      <c r="Q19" s="2">
        <f t="shared" si="0"/>
        <v>2.5000000000000001E-2</v>
      </c>
      <c r="R19" s="2">
        <f t="shared" si="0"/>
        <v>2.5000000000000001E-2</v>
      </c>
      <c r="S19" s="2">
        <f t="shared" si="0"/>
        <v>2.5000000000000001E-2</v>
      </c>
      <c r="T19" s="2" cm="1">
        <f t="array" ref="T19">+PRODUCT(1+N19:P19)^(0.333333333333333)-1</f>
        <v>3.0313854145980201E-2</v>
      </c>
      <c r="U19" s="12" cm="1">
        <f t="array" ref="U19">+PRODUCT(1+N19:S19)^(1/6)-1</f>
        <v>2.7653492428079796E-2</v>
      </c>
      <c r="V19" s="6">
        <f t="shared" si="1"/>
        <v>4.765153589643889E-2</v>
      </c>
      <c r="W19" s="6">
        <f t="shared" si="19"/>
        <v>6.0837079712543041E-2</v>
      </c>
      <c r="X19" s="6"/>
      <c r="Y19" s="6">
        <f t="shared" si="2"/>
        <v>4.1569456561849093E-2</v>
      </c>
      <c r="Z19" s="6">
        <f t="shared" si="3"/>
        <v>6.124937270528813E-2</v>
      </c>
      <c r="AA19" s="6"/>
      <c r="AB19" s="6">
        <f t="shared" si="4"/>
        <v>5.0151535896438892E-2</v>
      </c>
      <c r="AC19" s="6">
        <f t="shared" si="20"/>
        <v>6.3749372705288132E-2</v>
      </c>
      <c r="AD19" s="6"/>
      <c r="AE19" s="6">
        <f t="shared" si="5"/>
        <v>3.7651535896438895E-2</v>
      </c>
      <c r="AF19" s="6">
        <f t="shared" si="5"/>
        <v>5.1249372705288135E-2</v>
      </c>
      <c r="AH19" s="3">
        <v>3.9E-2</v>
      </c>
      <c r="AI19" s="3">
        <v>2.8000000000000001E-2</v>
      </c>
      <c r="AJ19" s="3">
        <v>2.4E-2</v>
      </c>
      <c r="AK19" s="3">
        <v>2.5000000000000001E-2</v>
      </c>
      <c r="AL19" s="3">
        <v>2.5000000000000001E-2</v>
      </c>
      <c r="AM19" s="3">
        <v>2.5000000000000001E-2</v>
      </c>
      <c r="AN19" s="2" cm="1">
        <f t="array" ref="AN19">+PRODUCT(1+AH19:AJ19)^(0.333333333333333)-1</f>
        <v>3.0313854145980201E-2</v>
      </c>
      <c r="AO19" s="12" cm="1">
        <f t="array" ref="AO19">+PRODUCT(1+AH19:AM19)^(1/6)-1</f>
        <v>2.7653492428079796E-2</v>
      </c>
      <c r="AQ19" s="3">
        <v>5.5799999999999947E-3</v>
      </c>
      <c r="AR19" s="3">
        <v>5.5799999999999947E-3</v>
      </c>
      <c r="AS19" s="40"/>
      <c r="AT19" s="42">
        <v>2.5000000000000001E-2</v>
      </c>
      <c r="AV19" s="15">
        <f t="shared" si="21"/>
        <v>-1</v>
      </c>
      <c r="AW19" s="15">
        <f t="shared" si="6"/>
        <v>4.7357619999999989E-2</v>
      </c>
      <c r="AX19" s="15">
        <f t="shared" si="7"/>
        <v>4.8683633359999992E-2</v>
      </c>
      <c r="AY19" s="15">
        <f t="shared" si="8"/>
        <v>1.0468928517734399</v>
      </c>
      <c r="AZ19" s="15"/>
      <c r="BA19" s="15">
        <f t="shared" si="34"/>
        <v>-1</v>
      </c>
      <c r="BB19" s="15">
        <f t="shared" si="9"/>
        <v>4.7357619999999989E-2</v>
      </c>
      <c r="BC19" s="15">
        <f t="shared" si="10"/>
        <v>4.8683633359999992E-2</v>
      </c>
      <c r="BD19" s="15">
        <f t="shared" si="10"/>
        <v>4.9852040560639993E-2</v>
      </c>
      <c r="BE19" s="15">
        <f t="shared" si="10"/>
        <v>5.1098341574655988E-2</v>
      </c>
      <c r="BF19" s="15">
        <f t="shared" si="10"/>
        <v>5.2375800114022382E-2</v>
      </c>
      <c r="BG19" s="15">
        <f t="shared" si="11"/>
        <v>1.1273890974543317</v>
      </c>
      <c r="BI19" s="25">
        <v>0.33</v>
      </c>
      <c r="BJ19" s="50">
        <f t="shared" si="22"/>
        <v>0.06</v>
      </c>
      <c r="BK19" s="26">
        <v>0.06</v>
      </c>
      <c r="BL19" s="26">
        <v>6.25E-2</v>
      </c>
      <c r="BM19" s="26">
        <v>5.7499999999999996E-2</v>
      </c>
      <c r="BN19" s="26">
        <v>2.5000000000000001E-3</v>
      </c>
      <c r="BO19" s="26">
        <v>1.2500000000000001E-2</v>
      </c>
      <c r="BQ19">
        <f t="shared" si="12"/>
        <v>16</v>
      </c>
      <c r="BR19">
        <f t="shared" si="23"/>
        <v>17</v>
      </c>
      <c r="BS19" s="27">
        <v>0.01</v>
      </c>
      <c r="BT19" s="27">
        <v>7.0000000000000007E-2</v>
      </c>
      <c r="BU19" s="7"/>
      <c r="BX19">
        <f t="shared" si="13"/>
        <v>17</v>
      </c>
      <c r="BY19">
        <f t="shared" si="24"/>
        <v>17</v>
      </c>
      <c r="BZ19" s="27">
        <v>0.01</v>
      </c>
      <c r="CA19" s="27">
        <v>7.0000000000000007E-2</v>
      </c>
      <c r="CF19" s="50">
        <f t="shared" si="25"/>
        <v>3.4999999999999996E-2</v>
      </c>
      <c r="CG19" s="42">
        <v>3.4999999999999996E-2</v>
      </c>
      <c r="CH19" s="42">
        <v>3.7499999999999999E-2</v>
      </c>
      <c r="CI19" s="42">
        <v>3.2499999999999994E-2</v>
      </c>
      <c r="CJ19" s="51">
        <f t="shared" si="35"/>
        <v>7.4999999999999997E-2</v>
      </c>
      <c r="CK19" s="51">
        <f t="shared" si="27"/>
        <v>7.4999999999999997E-2</v>
      </c>
      <c r="CL19" s="39">
        <f t="shared" si="14"/>
        <v>0.93156009501392611</v>
      </c>
      <c r="CM19">
        <f t="shared" si="15"/>
        <v>4.7357619999999989E-2</v>
      </c>
      <c r="CN19">
        <f t="shared" si="15"/>
        <v>4.8683633359999992E-2</v>
      </c>
      <c r="CO19">
        <f t="shared" si="15"/>
        <v>4.9852040560639993E-2</v>
      </c>
      <c r="CP19">
        <f t="shared" si="15"/>
        <v>5.1098341574655988E-2</v>
      </c>
      <c r="CQ19">
        <f t="shared" si="15"/>
        <v>5.2375800114022382E-2</v>
      </c>
      <c r="CR19">
        <f t="shared" si="15"/>
        <v>1.1273890974543317</v>
      </c>
      <c r="CU19" s="35">
        <f t="shared" si="28"/>
        <v>2.5000000000000001E-2</v>
      </c>
      <c r="CV19" s="35">
        <f t="shared" si="29"/>
        <v>2.5000000000000001E-2</v>
      </c>
      <c r="CX19" s="6">
        <f t="shared" si="16"/>
        <v>4.9999999999999996E-2</v>
      </c>
      <c r="CY19" s="6">
        <f t="shared" si="30"/>
        <v>4.9999999999999996E-2</v>
      </c>
      <c r="DA19" s="6">
        <f t="shared" si="31"/>
        <v>5.8139534883720929E-2</v>
      </c>
      <c r="DB19" s="6">
        <f t="shared" si="31"/>
        <v>5.8139534883720929E-2</v>
      </c>
    </row>
    <row r="20" spans="1:106" x14ac:dyDescent="0.25">
      <c r="A20">
        <f t="shared" si="32"/>
        <v>18</v>
      </c>
      <c r="B20" s="1" t="s">
        <v>61</v>
      </c>
      <c r="C20" s="1" t="s">
        <v>79</v>
      </c>
      <c r="D20" s="3">
        <v>5.5E-2</v>
      </c>
      <c r="E20" s="3">
        <v>0.08</v>
      </c>
      <c r="F20" s="2">
        <f t="shared" si="17"/>
        <v>5.0599999999999999E-2</v>
      </c>
      <c r="G20" s="4"/>
      <c r="H20" s="2">
        <f t="shared" si="18"/>
        <v>4.7499999999999994E-2</v>
      </c>
      <c r="I20" s="2">
        <f t="shared" si="18"/>
        <v>5.2499999999999991E-2</v>
      </c>
      <c r="J20" s="6"/>
      <c r="K20" s="2">
        <f t="shared" si="33"/>
        <v>5.1630434782608689E-2</v>
      </c>
      <c r="L20" s="2">
        <f t="shared" si="33"/>
        <v>5.7065217391304338E-2</v>
      </c>
      <c r="M20" s="6"/>
      <c r="N20" s="2">
        <f t="shared" si="0"/>
        <v>-1.4999999999999999E-2</v>
      </c>
      <c r="O20" s="2">
        <f t="shared" si="0"/>
        <v>2.3E-2</v>
      </c>
      <c r="P20" s="2">
        <f t="shared" si="0"/>
        <v>2.7E-2</v>
      </c>
      <c r="Q20" s="2">
        <f t="shared" si="0"/>
        <v>2.5000000000000001E-2</v>
      </c>
      <c r="R20" s="2">
        <f t="shared" si="0"/>
        <v>0.02</v>
      </c>
      <c r="S20" s="2">
        <f t="shared" si="0"/>
        <v>0.02</v>
      </c>
      <c r="T20" s="2" cm="1">
        <f t="array" ref="T20">+PRODUCT(1+N20:P20)^(0.333333333333333)-1</f>
        <v>1.1488080294234315E-2</v>
      </c>
      <c r="U20" s="12" cm="1">
        <f t="array" ref="U20">+PRODUCT(1+N20:S20)^(1/6)-1</f>
        <v>1.6563282952569702E-2</v>
      </c>
      <c r="V20" s="6">
        <f t="shared" si="1"/>
        <v>8.2464711220014975E-2</v>
      </c>
      <c r="W20" s="6">
        <f t="shared" si="19"/>
        <v>6.1780196825202083E-2</v>
      </c>
      <c r="X20" s="6"/>
      <c r="Y20" s="6">
        <f t="shared" si="2"/>
        <v>9.1200987805576339E-2</v>
      </c>
      <c r="Z20" s="6">
        <f t="shared" si="3"/>
        <v>6.2472495590558445E-2</v>
      </c>
      <c r="AA20" s="6"/>
      <c r="AB20" s="6">
        <f t="shared" si="4"/>
        <v>8.7464711220014979E-2</v>
      </c>
      <c r="AC20" s="6">
        <f t="shared" si="20"/>
        <v>6.7472495590558443E-2</v>
      </c>
      <c r="AD20" s="6"/>
      <c r="AE20" s="6">
        <f t="shared" si="5"/>
        <v>7.4964711220014982E-2</v>
      </c>
      <c r="AF20" s="6">
        <f t="shared" si="5"/>
        <v>5.4972495590558446E-2</v>
      </c>
      <c r="AH20" s="3">
        <v>-1.4999999999999999E-2</v>
      </c>
      <c r="AI20" s="3">
        <v>2.3E-2</v>
      </c>
      <c r="AJ20" s="3">
        <v>2.7E-2</v>
      </c>
      <c r="AK20" s="3">
        <v>2.5000000000000001E-2</v>
      </c>
      <c r="AL20" s="3">
        <v>0.02</v>
      </c>
      <c r="AM20" s="3">
        <v>0.02</v>
      </c>
      <c r="AN20" s="2" cm="1">
        <f t="array" ref="AN20">+PRODUCT(1+AH20:AJ20)^(0.333333333333333)-1</f>
        <v>1.1488080294234315E-2</v>
      </c>
      <c r="AO20" s="12" cm="1">
        <f t="array" ref="AO20">+PRODUCT(1+AH20:AM20)^(1/6)-1</f>
        <v>1.6563282952569702E-2</v>
      </c>
      <c r="AQ20" s="3">
        <v>4.8000000000000126E-4</v>
      </c>
      <c r="AR20" s="3">
        <v>4.8000000000000126E-4</v>
      </c>
      <c r="AS20" s="40"/>
      <c r="AT20" s="42">
        <v>0.02</v>
      </c>
      <c r="AV20" s="15">
        <f t="shared" si="21"/>
        <v>-1</v>
      </c>
      <c r="AW20" s="15">
        <f t="shared" si="6"/>
        <v>4.9840999999999996E-2</v>
      </c>
      <c r="AX20" s="15">
        <f t="shared" si="7"/>
        <v>5.0987342999999991E-2</v>
      </c>
      <c r="AY20" s="15">
        <f t="shared" si="8"/>
        <v>1.1547640278083684</v>
      </c>
      <c r="AZ20" s="15"/>
      <c r="BA20" s="15">
        <f t="shared" si="34"/>
        <v>-1</v>
      </c>
      <c r="BB20" s="15">
        <f t="shared" si="9"/>
        <v>4.9840999999999996E-2</v>
      </c>
      <c r="BC20" s="15">
        <f t="shared" si="10"/>
        <v>5.0987342999999991E-2</v>
      </c>
      <c r="BD20" s="15">
        <f t="shared" si="10"/>
        <v>5.2364001260999986E-2</v>
      </c>
      <c r="BE20" s="15">
        <f t="shared" si="10"/>
        <v>5.3673101292524984E-2</v>
      </c>
      <c r="BF20" s="15">
        <f t="shared" si="10"/>
        <v>5.4746563318375484E-2</v>
      </c>
      <c r="BG20" s="15">
        <f t="shared" si="11"/>
        <v>1.1194890104846098</v>
      </c>
      <c r="BI20" s="25">
        <v>0.28000000000000003</v>
      </c>
      <c r="BJ20" s="50">
        <f t="shared" si="22"/>
        <v>0.06</v>
      </c>
      <c r="BK20" s="26">
        <v>0.06</v>
      </c>
      <c r="BL20" s="26">
        <v>6.25E-2</v>
      </c>
      <c r="BM20" s="26">
        <v>5.7499999999999996E-2</v>
      </c>
      <c r="BN20" s="26">
        <v>5.0000000000000001E-3</v>
      </c>
      <c r="BO20" s="26">
        <v>1.2500000000000001E-2</v>
      </c>
      <c r="BQ20">
        <f t="shared" si="12"/>
        <v>13</v>
      </c>
      <c r="BR20">
        <f t="shared" si="23"/>
        <v>18</v>
      </c>
      <c r="BS20" s="27">
        <v>0.01</v>
      </c>
      <c r="BT20" s="27">
        <v>7.0000000000000007E-2</v>
      </c>
      <c r="BU20" s="7"/>
      <c r="BX20">
        <f t="shared" si="13"/>
        <v>16</v>
      </c>
      <c r="BY20">
        <f t="shared" si="24"/>
        <v>18</v>
      </c>
      <c r="BZ20" s="27">
        <v>0.01</v>
      </c>
      <c r="CA20" s="27">
        <v>7.0000000000000007E-2</v>
      </c>
      <c r="CF20" s="50">
        <f t="shared" si="25"/>
        <v>3.2499999999999994E-2</v>
      </c>
      <c r="CG20" s="42">
        <v>3.2499999999999994E-2</v>
      </c>
      <c r="CH20" s="42">
        <v>3.4999999999999996E-2</v>
      </c>
      <c r="CI20" s="42">
        <v>2.9999999999999995E-2</v>
      </c>
      <c r="CJ20" s="51">
        <f t="shared" si="35"/>
        <v>7.2499999999999995E-2</v>
      </c>
      <c r="CK20" s="51">
        <f t="shared" si="27"/>
        <v>7.2499999999999995E-2</v>
      </c>
      <c r="CL20" s="39">
        <f t="shared" si="14"/>
        <v>0.94798272187086374</v>
      </c>
      <c r="CM20">
        <f t="shared" si="15"/>
        <v>4.9840999999999996E-2</v>
      </c>
      <c r="CN20">
        <f t="shared" si="15"/>
        <v>5.0987342999999991E-2</v>
      </c>
      <c r="CO20">
        <f t="shared" si="15"/>
        <v>5.2364001260999986E-2</v>
      </c>
      <c r="CP20">
        <f t="shared" si="15"/>
        <v>5.3673101292524984E-2</v>
      </c>
      <c r="CQ20">
        <f t="shared" si="15"/>
        <v>5.4746563318375484E-2</v>
      </c>
      <c r="CR20">
        <f t="shared" si="15"/>
        <v>1.1194890104846098</v>
      </c>
      <c r="CU20" s="35">
        <f t="shared" si="28"/>
        <v>2.5000000000000001E-2</v>
      </c>
      <c r="CV20" s="35">
        <f t="shared" si="29"/>
        <v>0.02</v>
      </c>
      <c r="CX20" s="6">
        <f t="shared" si="16"/>
        <v>4.7499999999999994E-2</v>
      </c>
      <c r="CY20" s="6">
        <f t="shared" si="30"/>
        <v>5.2499999999999991E-2</v>
      </c>
      <c r="DA20" s="6">
        <f t="shared" si="31"/>
        <v>5.1630434782608689E-2</v>
      </c>
      <c r="DB20" s="6">
        <f t="shared" si="31"/>
        <v>5.7065217391304338E-2</v>
      </c>
    </row>
    <row r="21" spans="1:106" x14ac:dyDescent="0.25">
      <c r="A21">
        <f t="shared" si="32"/>
        <v>19</v>
      </c>
      <c r="B21" s="1" t="s">
        <v>61</v>
      </c>
      <c r="C21" s="1" t="s">
        <v>80</v>
      </c>
      <c r="D21" s="3">
        <v>0.06</v>
      </c>
      <c r="E21" s="3">
        <v>7.0000000000000007E-2</v>
      </c>
      <c r="F21" s="2">
        <f t="shared" si="17"/>
        <v>5.5799999999999995E-2</v>
      </c>
      <c r="G21" s="4"/>
      <c r="H21" s="2">
        <f t="shared" si="18"/>
        <v>3.4999999999999996E-2</v>
      </c>
      <c r="I21" s="2">
        <f t="shared" si="18"/>
        <v>5.4999999999999993E-2</v>
      </c>
      <c r="J21" s="6"/>
      <c r="K21" s="2">
        <f t="shared" si="33"/>
        <v>3.7634408602150539E-2</v>
      </c>
      <c r="L21" s="2">
        <f t="shared" si="33"/>
        <v>5.9139784946236555E-2</v>
      </c>
      <c r="M21" s="6"/>
      <c r="N21" s="2">
        <f t="shared" si="0"/>
        <v>7.0000000000000007E-2</v>
      </c>
      <c r="O21" s="2">
        <f t="shared" si="0"/>
        <v>0.06</v>
      </c>
      <c r="P21" s="2">
        <f t="shared" si="0"/>
        <v>0.05</v>
      </c>
      <c r="Q21" s="2">
        <f t="shared" si="0"/>
        <v>0.04</v>
      </c>
      <c r="R21" s="2">
        <f t="shared" si="0"/>
        <v>0.03</v>
      </c>
      <c r="S21" s="2">
        <f t="shared" si="0"/>
        <v>0.02</v>
      </c>
      <c r="T21" s="2" cm="1">
        <f t="array" ref="T21">+PRODUCT(1+N21:P21)^(0.333333333333333)-1</f>
        <v>5.9968552526163066E-2</v>
      </c>
      <c r="U21" s="12" cm="1">
        <f t="array" ref="U21">+PRODUCT(1+N21:S21)^(1/6)-1</f>
        <v>4.4860423613933165E-2</v>
      </c>
      <c r="V21" s="6">
        <f t="shared" si="1"/>
        <v>0.28987712163417445</v>
      </c>
      <c r="W21" s="6">
        <f t="shared" si="19"/>
        <v>0.10704614690441083</v>
      </c>
      <c r="X21" s="6"/>
      <c r="Y21" s="6">
        <f t="shared" si="2"/>
        <v>0.3665028288455659</v>
      </c>
      <c r="Z21" s="6">
        <f t="shared" si="3"/>
        <v>0.12272819587254778</v>
      </c>
      <c r="AA21" s="6"/>
      <c r="AB21" s="6">
        <f t="shared" si="4"/>
        <v>0.29737712163417446</v>
      </c>
      <c r="AC21" s="6">
        <f t="shared" si="20"/>
        <v>0.13022819587254778</v>
      </c>
      <c r="AD21" s="6"/>
      <c r="AE21" s="6">
        <f t="shared" si="5"/>
        <v>0.28487712163417445</v>
      </c>
      <c r="AF21" s="6">
        <f t="shared" si="5"/>
        <v>0.11772819587254778</v>
      </c>
      <c r="AH21" s="3">
        <v>7.0000000000000007E-2</v>
      </c>
      <c r="AI21" s="3">
        <v>0.06</v>
      </c>
      <c r="AJ21" s="3">
        <v>0.05</v>
      </c>
      <c r="AK21" s="3">
        <v>0.04</v>
      </c>
      <c r="AL21" s="3">
        <v>0.03</v>
      </c>
      <c r="AM21" s="3">
        <v>0.02</v>
      </c>
      <c r="AN21" s="2" cm="1">
        <f t="array" ref="AN21">+PRODUCT(1+AH21:AJ21)^(0.333333333333333)-1</f>
        <v>5.9968552526163066E-2</v>
      </c>
      <c r="AO21" s="12" cm="1">
        <f t="array" ref="AO21">+PRODUCT(1+AH21:AM21)^(1/6)-1</f>
        <v>4.4860423613933165E-2</v>
      </c>
      <c r="AQ21" s="3">
        <v>-5.5900000000000047E-3</v>
      </c>
      <c r="AR21" s="3">
        <v>-3.0000000000000001E-3</v>
      </c>
      <c r="AS21" s="40"/>
      <c r="AT21" s="42">
        <v>1.7500000000000002E-2</v>
      </c>
      <c r="AV21" s="15">
        <f t="shared" si="21"/>
        <v>-1</v>
      </c>
      <c r="AW21" s="15">
        <f t="shared" si="6"/>
        <v>5.9705999999999995E-2</v>
      </c>
      <c r="AX21" s="15">
        <f t="shared" si="7"/>
        <v>6.3288360000000002E-2</v>
      </c>
      <c r="AY21" s="15">
        <f t="shared" si="8"/>
        <v>1.9651035780000004</v>
      </c>
      <c r="AZ21" s="15"/>
      <c r="BA21" s="15">
        <f t="shared" si="34"/>
        <v>-1</v>
      </c>
      <c r="BB21" s="15">
        <f t="shared" si="9"/>
        <v>5.9705999999999995E-2</v>
      </c>
      <c r="BC21" s="15">
        <f t="shared" si="10"/>
        <v>6.3288360000000002E-2</v>
      </c>
      <c r="BD21" s="15">
        <f t="shared" si="10"/>
        <v>6.6452778000000004E-2</v>
      </c>
      <c r="BE21" s="15">
        <f t="shared" si="10"/>
        <v>6.9110889120000005E-2</v>
      </c>
      <c r="BF21" s="15">
        <f t="shared" si="10"/>
        <v>7.11842157936E-2</v>
      </c>
      <c r="BG21" s="15">
        <f t="shared" si="11"/>
        <v>1.3927515384635085</v>
      </c>
      <c r="BI21" s="25">
        <v>0.25</v>
      </c>
      <c r="BJ21" s="50">
        <f t="shared" si="22"/>
        <v>0.06</v>
      </c>
      <c r="BK21" s="26">
        <v>0.06</v>
      </c>
      <c r="BL21" s="26">
        <v>6.25E-2</v>
      </c>
      <c r="BM21" s="26">
        <v>5.7499999999999996E-2</v>
      </c>
      <c r="BN21" s="26">
        <v>7.4999999999999997E-3</v>
      </c>
      <c r="BO21" s="26">
        <v>1.2500000000000001E-2</v>
      </c>
      <c r="BQ21">
        <f t="shared" si="12"/>
        <v>2</v>
      </c>
      <c r="BR21">
        <f t="shared" si="23"/>
        <v>19</v>
      </c>
      <c r="BS21" s="27">
        <v>0.01</v>
      </c>
      <c r="BT21" s="27">
        <v>7.0000000000000007E-2</v>
      </c>
      <c r="BU21" s="7"/>
      <c r="BX21">
        <f t="shared" si="13"/>
        <v>3</v>
      </c>
      <c r="BY21">
        <f t="shared" si="24"/>
        <v>19</v>
      </c>
      <c r="BZ21" s="27">
        <v>0.01</v>
      </c>
      <c r="CA21" s="27">
        <v>7.0000000000000007E-2</v>
      </c>
      <c r="CF21" s="50">
        <f t="shared" si="25"/>
        <v>3.4999999999999996E-2</v>
      </c>
      <c r="CG21" s="42">
        <v>3.4999999999999996E-2</v>
      </c>
      <c r="CH21" s="42">
        <v>3.7499999999999999E-2</v>
      </c>
      <c r="CI21" s="42">
        <v>3.2499999999999994E-2</v>
      </c>
      <c r="CJ21" s="51">
        <f t="shared" si="35"/>
        <v>7.4999999999999997E-2</v>
      </c>
      <c r="CK21" s="51">
        <f t="shared" si="27"/>
        <v>7.4999999999999997E-2</v>
      </c>
      <c r="CL21" s="39">
        <f t="shared" si="14"/>
        <v>1.1675814651148229</v>
      </c>
      <c r="CM21">
        <f t="shared" si="15"/>
        <v>5.9705999999999995E-2</v>
      </c>
      <c r="CN21">
        <f t="shared" si="15"/>
        <v>6.3288360000000002E-2</v>
      </c>
      <c r="CO21">
        <f t="shared" si="15"/>
        <v>6.6452778000000004E-2</v>
      </c>
      <c r="CP21">
        <f t="shared" si="15"/>
        <v>6.9110889120000005E-2</v>
      </c>
      <c r="CQ21">
        <f t="shared" si="15"/>
        <v>7.11842157936E-2</v>
      </c>
      <c r="CR21">
        <f t="shared" si="15"/>
        <v>1.3927515384635085</v>
      </c>
      <c r="CU21" s="35">
        <f t="shared" si="28"/>
        <v>0.04</v>
      </c>
      <c r="CV21" s="35">
        <f t="shared" si="29"/>
        <v>0.02</v>
      </c>
      <c r="CX21" s="6">
        <f t="shared" si="16"/>
        <v>3.4999999999999996E-2</v>
      </c>
      <c r="CY21" s="6">
        <f t="shared" si="30"/>
        <v>5.4999999999999993E-2</v>
      </c>
      <c r="DA21" s="6">
        <f t="shared" si="31"/>
        <v>3.7634408602150539E-2</v>
      </c>
      <c r="DB21" s="6">
        <f t="shared" si="31"/>
        <v>5.9139784946236555E-2</v>
      </c>
    </row>
    <row r="22" spans="1:106" x14ac:dyDescent="0.25">
      <c r="N22" s="6"/>
      <c r="O22" s="6"/>
      <c r="P22" s="6"/>
      <c r="Q22" s="6"/>
      <c r="R22" s="6"/>
      <c r="S22" s="6"/>
    </row>
    <row r="23" spans="1:106" x14ac:dyDescent="0.25">
      <c r="B23" s="10" t="s">
        <v>81</v>
      </c>
      <c r="C23" s="10" t="s">
        <v>82</v>
      </c>
      <c r="T23" s="16" cm="1">
        <f t="array" ref="T23">+PRODUCT(1+D29:F29)^(0.333333333333333)-1</f>
        <v>2.2497962506127456E-2</v>
      </c>
      <c r="U23" s="16" cm="1">
        <f t="array" ref="U23">+PRODUCT(1+D29:I29)^(1/6)-1</f>
        <v>2.1248217504564293E-2</v>
      </c>
      <c r="AH23" t="s">
        <v>83</v>
      </c>
      <c r="AQ23" t="s">
        <v>84</v>
      </c>
      <c r="BA23" s="27"/>
      <c r="BS23" s="5">
        <f>+SUM(BS3:BS21)</f>
        <v>0.62</v>
      </c>
      <c r="BT23" s="5">
        <f>+SUM(BT3:BT21)</f>
        <v>2.819999999999999</v>
      </c>
      <c r="BU23" s="5">
        <v>1</v>
      </c>
      <c r="BV23">
        <f>+SUM(BV3:BV21)</f>
        <v>0</v>
      </c>
      <c r="BZ23" s="5">
        <f>+SUM(BZ3:BZ21)</f>
        <v>0.7200000000000002</v>
      </c>
      <c r="CA23" s="5">
        <f>+SUM(CA3:CA21)</f>
        <v>2.819999999999999</v>
      </c>
    </row>
    <row r="24" spans="1:106" ht="15.75" thickBot="1" x14ac:dyDescent="0.3">
      <c r="B24" s="10"/>
      <c r="C24" s="10"/>
      <c r="T24" s="16"/>
      <c r="U24" s="16"/>
    </row>
    <row r="25" spans="1:106" ht="15.75" thickBot="1" x14ac:dyDescent="0.3">
      <c r="B25" s="10"/>
      <c r="C25" s="10" t="s">
        <v>85</v>
      </c>
      <c r="D25" s="31" t="s">
        <v>86</v>
      </c>
      <c r="F25" s="22" t="s">
        <v>87</v>
      </c>
      <c r="G25" s="23" t="s">
        <v>86</v>
      </c>
      <c r="H25" s="23" t="s">
        <v>88</v>
      </c>
      <c r="I25" s="24" t="s">
        <v>89</v>
      </c>
      <c r="K25" s="47"/>
      <c r="L25" s="47"/>
      <c r="AH25" s="16">
        <v>0.03</v>
      </c>
      <c r="AI25" s="16">
        <v>0.03</v>
      </c>
      <c r="AJ25" s="16">
        <v>0.03</v>
      </c>
      <c r="AK25" s="16">
        <v>0.03</v>
      </c>
      <c r="AL25" s="16">
        <v>0.03</v>
      </c>
      <c r="AM25" s="16">
        <v>0.03</v>
      </c>
      <c r="AN25" s="16"/>
      <c r="AO25" s="16"/>
    </row>
    <row r="26" spans="1:106" x14ac:dyDescent="0.25">
      <c r="AH26" s="16">
        <v>2.5000000000000001E-2</v>
      </c>
      <c r="AI26" s="16">
        <v>2.2499999999999999E-2</v>
      </c>
      <c r="AJ26" s="16">
        <v>0.02</v>
      </c>
      <c r="AK26" s="16">
        <v>0.02</v>
      </c>
      <c r="AL26" s="16">
        <v>0.02</v>
      </c>
      <c r="AM26" s="16">
        <v>0.02</v>
      </c>
      <c r="AN26" s="16"/>
      <c r="AO26" s="16"/>
    </row>
    <row r="27" spans="1:106" x14ac:dyDescent="0.25">
      <c r="C27" s="19" t="s">
        <v>90</v>
      </c>
      <c r="AH27" s="16">
        <v>0.01</v>
      </c>
      <c r="AI27" s="16">
        <v>0.01</v>
      </c>
      <c r="AJ27" s="16">
        <v>0.01</v>
      </c>
      <c r="AK27" s="16">
        <v>0.01</v>
      </c>
      <c r="AL27" s="16">
        <v>0.01</v>
      </c>
      <c r="AM27" s="16">
        <v>0.01</v>
      </c>
      <c r="AN27" s="16"/>
      <c r="AO27" s="16"/>
    </row>
    <row r="28" spans="1:106" x14ac:dyDescent="0.25">
      <c r="C28" s="10" t="s">
        <v>91</v>
      </c>
    </row>
    <row r="29" spans="1:106" x14ac:dyDescent="0.25">
      <c r="C29" s="10" t="s">
        <v>82</v>
      </c>
      <c r="D29" s="20">
        <f t="shared" ref="D29:I30" si="36">IF($D$25=$G$25,D35,IF($D$25=$H$25,D41,IF($D$25=$I$25,D47,"ERR")))</f>
        <v>2.5000000000000001E-2</v>
      </c>
      <c r="E29" s="20">
        <f t="shared" si="36"/>
        <v>2.2499999999999999E-2</v>
      </c>
      <c r="F29" s="20">
        <f t="shared" si="36"/>
        <v>0.02</v>
      </c>
      <c r="G29" s="20">
        <f t="shared" si="36"/>
        <v>0.02</v>
      </c>
      <c r="H29" s="20">
        <f t="shared" si="36"/>
        <v>0.02</v>
      </c>
      <c r="I29" s="20">
        <f t="shared" si="36"/>
        <v>0.02</v>
      </c>
      <c r="K29" s="20"/>
      <c r="L29" s="20"/>
      <c r="N29" s="20"/>
      <c r="AH29" s="16">
        <f t="shared" ref="AH29:AM29" si="37">+D29</f>
        <v>2.5000000000000001E-2</v>
      </c>
      <c r="AI29" s="16">
        <f t="shared" si="37"/>
        <v>2.2499999999999999E-2</v>
      </c>
      <c r="AJ29" s="16">
        <f t="shared" si="37"/>
        <v>0.02</v>
      </c>
      <c r="AK29" s="16">
        <f t="shared" si="37"/>
        <v>0.02</v>
      </c>
      <c r="AL29" s="16">
        <f t="shared" si="37"/>
        <v>0.02</v>
      </c>
      <c r="AM29" s="16">
        <f t="shared" si="37"/>
        <v>0.02</v>
      </c>
      <c r="AN29" s="16"/>
      <c r="AO29" s="16"/>
    </row>
    <row r="30" spans="1:106" x14ac:dyDescent="0.25">
      <c r="C30" s="10" t="s">
        <v>92</v>
      </c>
      <c r="D30" s="20">
        <f t="shared" si="36"/>
        <v>4.4999999999999998E-2</v>
      </c>
      <c r="E30" s="20">
        <f t="shared" si="36"/>
        <v>0.04</v>
      </c>
      <c r="F30" s="21">
        <f t="shared" si="36"/>
        <v>0.04</v>
      </c>
      <c r="G30" s="20">
        <f t="shared" si="36"/>
        <v>0.04</v>
      </c>
      <c r="H30" s="20">
        <f t="shared" si="36"/>
        <v>0.04</v>
      </c>
      <c r="I30" s="21">
        <f t="shared" si="36"/>
        <v>0.04</v>
      </c>
      <c r="K30" s="21"/>
      <c r="L30" s="21"/>
      <c r="N30" s="20"/>
      <c r="U30" s="5"/>
    </row>
    <row r="31" spans="1:106" x14ac:dyDescent="0.25">
      <c r="C31" s="10"/>
      <c r="D31" s="20"/>
      <c r="E31" s="20"/>
      <c r="F31" s="21"/>
      <c r="G31" s="20"/>
      <c r="H31" s="20"/>
      <c r="I31" s="21"/>
      <c r="K31" s="21"/>
      <c r="L31" s="21"/>
      <c r="N31" s="20"/>
      <c r="U31" s="5"/>
    </row>
    <row r="32" spans="1:106" x14ac:dyDescent="0.25">
      <c r="F32" s="20">
        <f>IF($D$25=$G$25,F37,IF($D$25=$H$25,F43,IF($D$25=$I$25,F49,"ERR")))</f>
        <v>0</v>
      </c>
      <c r="I32" s="20">
        <f>IF($D$25=$G$25,I37,IF($D$25=$H$25,I43,IF($D$25=$I$25,I49,"ERR")))</f>
        <v>0</v>
      </c>
      <c r="J32" s="7"/>
      <c r="K32" s="20"/>
      <c r="L32" s="20"/>
      <c r="M32" s="7"/>
      <c r="N32" s="7"/>
      <c r="U32" s="7"/>
      <c r="V32" s="7"/>
      <c r="W32" s="7"/>
      <c r="X32" s="7"/>
    </row>
    <row r="33" spans="3:42" x14ac:dyDescent="0.25">
      <c r="C33" s="9" t="s">
        <v>93</v>
      </c>
      <c r="D33" s="7"/>
      <c r="E33" s="7"/>
      <c r="F33" s="7"/>
      <c r="J33" s="7"/>
      <c r="M33" s="7"/>
      <c r="N33" s="7"/>
      <c r="U33" s="7"/>
      <c r="V33" s="7"/>
      <c r="W33" s="7"/>
      <c r="X33" s="7"/>
    </row>
    <row r="34" spans="3:42" x14ac:dyDescent="0.25">
      <c r="C34" s="10" t="s">
        <v>94</v>
      </c>
      <c r="D34" s="11">
        <v>2.5000000000000001E-2</v>
      </c>
      <c r="E34" s="11">
        <v>2.2499999999999999E-2</v>
      </c>
      <c r="F34" s="11">
        <v>0.02</v>
      </c>
      <c r="G34" s="11">
        <v>0.02</v>
      </c>
      <c r="H34" s="11">
        <v>0.02</v>
      </c>
      <c r="I34" s="11">
        <v>0.02</v>
      </c>
      <c r="J34" s="7"/>
      <c r="K34" s="11"/>
      <c r="L34" s="11"/>
      <c r="M34" s="7"/>
      <c r="N34" s="11">
        <v>0.02</v>
      </c>
      <c r="U34" s="7"/>
      <c r="V34" s="7"/>
      <c r="W34" s="7"/>
      <c r="X34" s="7"/>
    </row>
    <row r="35" spans="3:42" x14ac:dyDescent="0.25">
      <c r="C35" s="10" t="s">
        <v>95</v>
      </c>
      <c r="D35" s="11">
        <v>2.5000000000000001E-2</v>
      </c>
      <c r="E35" s="11">
        <v>2.2499999999999999E-2</v>
      </c>
      <c r="F35" s="11">
        <v>0.02</v>
      </c>
      <c r="G35" s="11">
        <v>0.02</v>
      </c>
      <c r="H35" s="11">
        <v>0.02</v>
      </c>
      <c r="I35" s="11">
        <v>0.02</v>
      </c>
      <c r="J35" s="11"/>
      <c r="K35" s="11"/>
      <c r="L35" s="11"/>
      <c r="M35" s="11"/>
      <c r="N35" s="11">
        <v>0.02</v>
      </c>
      <c r="U35" s="7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</row>
    <row r="36" spans="3:42" x14ac:dyDescent="0.25">
      <c r="C36" s="10" t="s">
        <v>96</v>
      </c>
      <c r="D36" s="20">
        <f>+E35+E34</f>
        <v>4.4999999999999998E-2</v>
      </c>
      <c r="E36" s="20">
        <f t="shared" ref="E36:H36" si="38">+F35+F34</f>
        <v>0.04</v>
      </c>
      <c r="F36" s="20">
        <f t="shared" si="38"/>
        <v>0.04</v>
      </c>
      <c r="G36" s="20">
        <f t="shared" si="38"/>
        <v>0.04</v>
      </c>
      <c r="H36" s="20">
        <f t="shared" si="38"/>
        <v>0.04</v>
      </c>
      <c r="I36" s="20">
        <f>+N35+N34</f>
        <v>0.04</v>
      </c>
      <c r="J36" s="7"/>
      <c r="K36" s="20"/>
      <c r="L36" s="20"/>
      <c r="M36" s="7"/>
      <c r="N36" s="11"/>
      <c r="U36" s="7"/>
      <c r="V36" s="7"/>
      <c r="W36" s="7"/>
      <c r="X36" s="7"/>
    </row>
    <row r="37" spans="3:42" x14ac:dyDescent="0.25">
      <c r="C37" s="10" t="s">
        <v>97</v>
      </c>
      <c r="D37" s="20"/>
      <c r="E37" s="20"/>
      <c r="F37" s="11">
        <v>0</v>
      </c>
      <c r="G37" s="20"/>
      <c r="H37" s="11"/>
      <c r="I37" s="11">
        <v>0</v>
      </c>
      <c r="J37" s="7"/>
      <c r="K37" s="11"/>
      <c r="L37" s="11"/>
      <c r="M37" s="7"/>
      <c r="N37" s="11"/>
      <c r="U37" s="7"/>
      <c r="V37" s="7"/>
      <c r="W37" s="7"/>
      <c r="X37" s="7"/>
    </row>
    <row r="38" spans="3:42" x14ac:dyDescent="0.25">
      <c r="C38" s="10"/>
      <c r="D38" s="11"/>
      <c r="E38" s="11"/>
      <c r="F38" s="11"/>
      <c r="G38" s="11"/>
      <c r="H38" s="11"/>
      <c r="I38" s="11"/>
      <c r="J38" s="7"/>
      <c r="K38" s="11"/>
      <c r="L38" s="11"/>
      <c r="M38" s="7"/>
      <c r="N38" s="11"/>
      <c r="U38" s="7"/>
      <c r="V38" s="7"/>
      <c r="W38" s="7"/>
      <c r="X38" s="7"/>
    </row>
    <row r="39" spans="3:42" x14ac:dyDescent="0.25">
      <c r="C39" s="19" t="s">
        <v>98</v>
      </c>
      <c r="J39" s="7"/>
      <c r="M39" s="7"/>
      <c r="N39" s="7"/>
      <c r="U39" s="7"/>
      <c r="V39" s="7"/>
      <c r="W39" s="7"/>
      <c r="X39" s="7"/>
    </row>
    <row r="40" spans="3:42" x14ac:dyDescent="0.25">
      <c r="C40" s="10" t="s">
        <v>94</v>
      </c>
      <c r="D40" s="11">
        <v>2.5000000000000001E-2</v>
      </c>
      <c r="E40" s="11">
        <v>2.2499999999999999E-2</v>
      </c>
      <c r="F40" s="11">
        <v>0.02</v>
      </c>
      <c r="G40" s="11">
        <v>0.02</v>
      </c>
      <c r="H40" s="11">
        <v>0.02</v>
      </c>
      <c r="I40" s="11">
        <v>0.02</v>
      </c>
      <c r="J40" s="7"/>
      <c r="K40" s="11"/>
      <c r="L40" s="11"/>
      <c r="M40" s="7"/>
      <c r="N40" s="11">
        <v>0.02</v>
      </c>
      <c r="U40" s="7"/>
      <c r="V40" s="7"/>
      <c r="W40" s="7"/>
      <c r="X40" s="7"/>
    </row>
    <row r="41" spans="3:42" x14ac:dyDescent="0.25">
      <c r="C41" s="10" t="s">
        <v>95</v>
      </c>
      <c r="D41" s="11">
        <v>0.03</v>
      </c>
      <c r="E41" s="11">
        <v>0.03</v>
      </c>
      <c r="F41" s="11">
        <v>0.03</v>
      </c>
      <c r="G41" s="11">
        <v>0.03</v>
      </c>
      <c r="H41" s="11">
        <v>0.03</v>
      </c>
      <c r="I41" s="11">
        <v>0.03</v>
      </c>
      <c r="K41" s="11"/>
      <c r="L41" s="11"/>
      <c r="N41" s="11">
        <v>0.03</v>
      </c>
    </row>
    <row r="42" spans="3:42" x14ac:dyDescent="0.25">
      <c r="C42" s="10" t="s">
        <v>96</v>
      </c>
      <c r="D42" s="20">
        <f>+E41+E40</f>
        <v>5.2499999999999998E-2</v>
      </c>
      <c r="E42" s="20">
        <f t="shared" ref="E42:H42" si="39">+F41+F40</f>
        <v>0.05</v>
      </c>
      <c r="F42" s="20">
        <f t="shared" si="39"/>
        <v>0.05</v>
      </c>
      <c r="G42" s="20">
        <f t="shared" si="39"/>
        <v>0.05</v>
      </c>
      <c r="H42" s="20">
        <f t="shared" si="39"/>
        <v>0.05</v>
      </c>
      <c r="I42" s="20">
        <f>+N41+N40</f>
        <v>0.05</v>
      </c>
      <c r="K42" s="20"/>
      <c r="L42" s="20"/>
      <c r="N42" s="11"/>
    </row>
    <row r="43" spans="3:42" x14ac:dyDescent="0.25">
      <c r="C43" s="10" t="s">
        <v>97</v>
      </c>
      <c r="D43" s="20"/>
      <c r="E43" s="20"/>
      <c r="F43" s="11">
        <v>-2.5000000000000001E-3</v>
      </c>
      <c r="G43" s="20"/>
      <c r="H43" s="20"/>
      <c r="I43" s="11">
        <v>-2.5000000000000001E-3</v>
      </c>
      <c r="K43" s="11"/>
      <c r="L43" s="11"/>
      <c r="N43" s="11"/>
    </row>
    <row r="45" spans="3:42" x14ac:dyDescent="0.25">
      <c r="C45" s="19" t="s">
        <v>99</v>
      </c>
      <c r="J45" s="7"/>
      <c r="M45" s="7"/>
      <c r="N45" s="7"/>
      <c r="U45" s="7"/>
      <c r="V45" s="7"/>
      <c r="W45" s="7"/>
      <c r="X45" s="7"/>
    </row>
    <row r="46" spans="3:42" x14ac:dyDescent="0.25">
      <c r="C46" s="10" t="s">
        <v>94</v>
      </c>
      <c r="D46" s="11">
        <v>2.5000000000000001E-2</v>
      </c>
      <c r="E46" s="11">
        <v>2.2499999999999999E-2</v>
      </c>
      <c r="F46" s="11">
        <v>0.02</v>
      </c>
      <c r="G46" s="11">
        <v>0.02</v>
      </c>
      <c r="H46" s="11">
        <v>0.02</v>
      </c>
      <c r="I46" s="11">
        <v>0.02</v>
      </c>
      <c r="J46" s="7"/>
      <c r="K46" s="11"/>
      <c r="L46" s="11"/>
      <c r="M46" s="7"/>
      <c r="N46" s="11">
        <v>0.02</v>
      </c>
      <c r="U46" s="7"/>
      <c r="V46" s="7"/>
      <c r="W46" s="7"/>
      <c r="X46" s="7"/>
    </row>
    <row r="47" spans="3:42" x14ac:dyDescent="0.25">
      <c r="C47" s="10" t="s">
        <v>95</v>
      </c>
      <c r="D47" s="11">
        <v>0.01</v>
      </c>
      <c r="E47" s="11">
        <v>0.01</v>
      </c>
      <c r="F47" s="11">
        <v>0.01</v>
      </c>
      <c r="G47" s="11">
        <v>0.01</v>
      </c>
      <c r="H47" s="11">
        <v>0.01</v>
      </c>
      <c r="I47" s="11">
        <v>0.01</v>
      </c>
      <c r="K47" s="11"/>
      <c r="L47" s="11"/>
      <c r="N47" s="11">
        <v>0.01</v>
      </c>
    </row>
    <row r="48" spans="3:42" x14ac:dyDescent="0.25">
      <c r="C48" s="10" t="s">
        <v>96</v>
      </c>
      <c r="D48" s="20">
        <f>+E47+E46</f>
        <v>3.2500000000000001E-2</v>
      </c>
      <c r="E48" s="20">
        <f t="shared" ref="E48:H48" si="40">+F47+F46</f>
        <v>0.03</v>
      </c>
      <c r="F48" s="20">
        <f t="shared" si="40"/>
        <v>0.03</v>
      </c>
      <c r="G48" s="20">
        <f t="shared" si="40"/>
        <v>0.03</v>
      </c>
      <c r="H48" s="20">
        <f t="shared" si="40"/>
        <v>0.03</v>
      </c>
      <c r="I48" s="20">
        <f>+N47+N46</f>
        <v>0.03</v>
      </c>
      <c r="K48" s="20"/>
      <c r="L48" s="20"/>
      <c r="N48" s="11"/>
    </row>
    <row r="49" spans="3:12" x14ac:dyDescent="0.25">
      <c r="C49" s="10" t="s">
        <v>97</v>
      </c>
      <c r="F49" s="11">
        <v>2.5000000000000001E-3</v>
      </c>
      <c r="I49" s="11">
        <v>2.5000000000000001E-3</v>
      </c>
      <c r="K49" s="11"/>
      <c r="L49" s="11"/>
    </row>
  </sheetData>
  <dataValidations count="1">
    <dataValidation type="list" allowBlank="1" showInputMessage="1" showErrorMessage="1" sqref="D25" xr:uid="{90883439-6E8B-4A7E-9336-6072BCA8754C}">
      <formula1>$G$25:$I$25</formula1>
    </dataValidation>
  </dataValidations>
  <pageMargins left="1.25" right="1.25" top="1" bottom="0.79166666666666696" header="0.25" footer="0.25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6A28C-2367-47C0-9DCD-62E56F2B02E1}">
  <dimension ref="A1:AB80"/>
  <sheetViews>
    <sheetView workbookViewId="0">
      <pane xSplit="3" ySplit="1" topLeftCell="E2" activePane="bottomRight" state="frozen"/>
      <selection pane="topRight" activeCell="C1" sqref="C1"/>
      <selection pane="bottomLeft" activeCell="A2" sqref="A2"/>
      <selection pane="bottomRight" activeCell="Y2" sqref="Y2"/>
    </sheetView>
    <sheetView zoomScale="88" zoomScaleNormal="50" workbookViewId="1">
      <selection sqref="A1:A1048576"/>
    </sheetView>
  </sheetViews>
  <sheetFormatPr defaultRowHeight="15" x14ac:dyDescent="0.25"/>
  <cols>
    <col min="1" max="1" width="15.28515625" bestFit="1" customWidth="1"/>
    <col min="2" max="2" width="18.85546875" customWidth="1"/>
    <col min="3" max="3" width="23.5703125" bestFit="1" customWidth="1"/>
    <col min="4" max="4" width="8.42578125" bestFit="1" customWidth="1"/>
    <col min="5" max="5" width="8" bestFit="1" customWidth="1"/>
    <col min="6" max="7" width="8.7109375" bestFit="1" customWidth="1"/>
    <col min="25" max="25" width="9.140625" customWidth="1"/>
  </cols>
  <sheetData>
    <row r="1" spans="1:28" s="9" customFormat="1" x14ac:dyDescent="0.25">
      <c r="A1" s="9" t="s">
        <v>10</v>
      </c>
      <c r="B1" s="8" t="s">
        <v>11</v>
      </c>
      <c r="C1" s="8" t="s">
        <v>12</v>
      </c>
      <c r="D1" s="8" t="s">
        <v>100</v>
      </c>
      <c r="E1" s="8" t="s">
        <v>101</v>
      </c>
      <c r="F1" s="8" t="s">
        <v>102</v>
      </c>
      <c r="G1" s="8" t="s">
        <v>103</v>
      </c>
      <c r="H1" s="8" t="s">
        <v>104</v>
      </c>
      <c r="I1" s="8" t="s">
        <v>105</v>
      </c>
      <c r="J1" s="8" t="s">
        <v>106</v>
      </c>
      <c r="K1" s="8" t="s">
        <v>107</v>
      </c>
      <c r="L1" s="8" t="s">
        <v>108</v>
      </c>
      <c r="M1" s="8" t="s">
        <v>109</v>
      </c>
      <c r="N1" s="8" t="s">
        <v>110</v>
      </c>
      <c r="O1" s="8" t="s">
        <v>111</v>
      </c>
      <c r="P1" s="8" t="s">
        <v>112</v>
      </c>
      <c r="Q1" s="8" t="s">
        <v>113</v>
      </c>
      <c r="R1" s="8" t="s">
        <v>114</v>
      </c>
      <c r="S1" s="8" t="s">
        <v>115</v>
      </c>
      <c r="T1" s="8" t="s">
        <v>116</v>
      </c>
      <c r="U1" s="8" t="s">
        <v>117</v>
      </c>
      <c r="V1" s="8" t="s">
        <v>118</v>
      </c>
      <c r="W1" s="8" t="s">
        <v>119</v>
      </c>
      <c r="X1" s="19"/>
      <c r="Y1" s="19"/>
    </row>
    <row r="2" spans="1:28" x14ac:dyDescent="0.25">
      <c r="A2">
        <v>1</v>
      </c>
      <c r="B2" s="1" t="s">
        <v>61</v>
      </c>
      <c r="C2" s="1" t="s">
        <v>62</v>
      </c>
      <c r="D2" s="3">
        <v>0.28000000000000003</v>
      </c>
      <c r="E2" s="3">
        <v>0.4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0.8</v>
      </c>
      <c r="V2" s="3">
        <v>0.4</v>
      </c>
      <c r="W2" s="3"/>
      <c r="X2" s="40"/>
      <c r="Y2" s="40">
        <v>0.16840069844788011</v>
      </c>
      <c r="Z2" s="5">
        <v>0.17</v>
      </c>
      <c r="AA2" s="39">
        <f>+SUMPRODUCT(D2:W2,$D$25:$W$25)</f>
        <v>0.17</v>
      </c>
      <c r="AB2" s="5">
        <f>tmp!L2</f>
        <v>0.17</v>
      </c>
    </row>
    <row r="3" spans="1:28" x14ac:dyDescent="0.25">
      <c r="A3">
        <f>+A2+1</f>
        <v>2</v>
      </c>
      <c r="B3" s="1" t="s">
        <v>61</v>
      </c>
      <c r="C3" s="1" t="s">
        <v>63</v>
      </c>
      <c r="D3" s="3">
        <v>0.4</v>
      </c>
      <c r="E3" s="3">
        <v>0.28000000000000003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>
        <v>0.2</v>
      </c>
      <c r="W3" s="3"/>
      <c r="X3" s="40"/>
      <c r="Y3" s="40">
        <v>5.9329918211469865E-2</v>
      </c>
      <c r="Z3" s="5">
        <v>8.9489355307983576E-2</v>
      </c>
      <c r="AA3" s="39">
        <f t="shared" ref="AA3:AA20" si="0">+SUMPRODUCT(D3:W3,$D$25:$W$25)</f>
        <v>7.1999999999999995E-2</v>
      </c>
      <c r="AB3" s="5">
        <f>tmp!L3</f>
        <v>8.9489355307983576E-2</v>
      </c>
    </row>
    <row r="4" spans="1:28" x14ac:dyDescent="0.25">
      <c r="A4">
        <f t="shared" ref="A4:A20" si="1">+A3+1</f>
        <v>3</v>
      </c>
      <c r="B4" s="1" t="s">
        <v>61</v>
      </c>
      <c r="C4" s="1" t="s">
        <v>64</v>
      </c>
      <c r="D4" s="3">
        <v>0.15</v>
      </c>
      <c r="E4" s="3">
        <v>0.1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>
        <v>0.05</v>
      </c>
      <c r="W4" s="3"/>
      <c r="X4" s="40"/>
      <c r="Y4" s="40">
        <v>6.6221815651269805E-2</v>
      </c>
      <c r="Z4" s="5">
        <v>3.7160686011384567E-18</v>
      </c>
      <c r="AA4" s="39">
        <f t="shared" si="0"/>
        <v>2.5499999999999998E-2</v>
      </c>
      <c r="AB4" s="5">
        <f>tmp!L4</f>
        <v>3.7160686011384567E-18</v>
      </c>
    </row>
    <row r="5" spans="1:28" x14ac:dyDescent="0.25">
      <c r="A5">
        <f t="shared" si="1"/>
        <v>4</v>
      </c>
      <c r="B5" s="1" t="s">
        <v>61</v>
      </c>
      <c r="C5" s="1" t="s">
        <v>65</v>
      </c>
      <c r="D5" s="3">
        <v>0.17000000000000004</v>
      </c>
      <c r="E5" s="3">
        <v>0.22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>
        <v>0.05</v>
      </c>
      <c r="W5" s="3"/>
      <c r="X5" s="40"/>
      <c r="Y5" s="40">
        <v>4.4816642359825083E-2</v>
      </c>
      <c r="Z5" s="5">
        <v>1.0249304754446683E-17</v>
      </c>
      <c r="AA5" s="39">
        <f t="shared" si="0"/>
        <v>2.8500000000000004E-2</v>
      </c>
      <c r="AB5" s="5">
        <f>tmp!L5</f>
        <v>1.0249304754446683E-17</v>
      </c>
    </row>
    <row r="6" spans="1:28" x14ac:dyDescent="0.25">
      <c r="A6">
        <f t="shared" si="1"/>
        <v>5</v>
      </c>
      <c r="B6" s="1" t="s">
        <v>61</v>
      </c>
      <c r="C6" s="1" t="s">
        <v>66</v>
      </c>
      <c r="D6" s="3"/>
      <c r="E6" s="3"/>
      <c r="F6" s="3">
        <v>1</v>
      </c>
      <c r="G6" s="3"/>
      <c r="H6" s="3"/>
      <c r="I6" s="3"/>
      <c r="J6" s="3"/>
      <c r="K6" s="3"/>
      <c r="L6" s="3">
        <v>0.5</v>
      </c>
      <c r="M6" s="3">
        <v>0.5</v>
      </c>
      <c r="N6" s="3"/>
      <c r="O6" s="3"/>
      <c r="P6" s="3"/>
      <c r="Q6" s="3"/>
      <c r="R6" s="3">
        <v>0.5</v>
      </c>
      <c r="S6" s="3"/>
      <c r="T6" s="3"/>
      <c r="U6" s="3">
        <v>0.2</v>
      </c>
      <c r="V6" s="3"/>
      <c r="W6" s="3"/>
      <c r="X6" s="40"/>
      <c r="Y6" s="40">
        <v>0.17845265823922504</v>
      </c>
      <c r="Z6" s="5">
        <v>0.17</v>
      </c>
      <c r="AA6" s="39">
        <f t="shared" si="0"/>
        <v>0.16600000000000001</v>
      </c>
      <c r="AB6" s="5">
        <f>tmp!L6</f>
        <v>0.17</v>
      </c>
    </row>
    <row r="7" spans="1:28" x14ac:dyDescent="0.25">
      <c r="A7">
        <f t="shared" si="1"/>
        <v>6</v>
      </c>
      <c r="B7" s="1" t="s">
        <v>61</v>
      </c>
      <c r="C7" s="1" t="s">
        <v>67</v>
      </c>
      <c r="D7" s="3"/>
      <c r="E7" s="3"/>
      <c r="F7" s="3"/>
      <c r="G7" s="3">
        <v>1</v>
      </c>
      <c r="H7" s="3"/>
      <c r="I7" s="3"/>
      <c r="J7" s="3"/>
      <c r="K7" s="3"/>
      <c r="L7" s="3"/>
      <c r="M7" s="3"/>
      <c r="N7" s="3"/>
      <c r="O7" s="3"/>
      <c r="P7" s="3">
        <v>0.5</v>
      </c>
      <c r="Q7" s="3"/>
      <c r="R7" s="3"/>
      <c r="S7" s="3"/>
      <c r="T7" s="3">
        <v>0.25</v>
      </c>
      <c r="U7" s="3"/>
      <c r="V7" s="3"/>
      <c r="W7" s="3">
        <v>0.3</v>
      </c>
      <c r="X7" s="40"/>
      <c r="Y7" s="40">
        <v>0</v>
      </c>
      <c r="Z7" s="5">
        <v>0.10000000000000003</v>
      </c>
      <c r="AA7" s="39">
        <f t="shared" si="0"/>
        <v>0.1</v>
      </c>
      <c r="AB7" s="5">
        <f>tmp!L7</f>
        <v>0.10000000000000003</v>
      </c>
    </row>
    <row r="8" spans="1:28" x14ac:dyDescent="0.25">
      <c r="A8">
        <f t="shared" si="1"/>
        <v>7</v>
      </c>
      <c r="B8" s="1" t="s">
        <v>61</v>
      </c>
      <c r="C8" s="1" t="s">
        <v>68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40"/>
      <c r="Y8" s="40">
        <v>0</v>
      </c>
      <c r="Z8" s="5">
        <v>2.0000000000000056E-2</v>
      </c>
      <c r="AA8" s="39">
        <f t="shared" si="0"/>
        <v>0</v>
      </c>
      <c r="AB8" s="5">
        <f>tmp!L8</f>
        <v>2.0000000000000056E-2</v>
      </c>
    </row>
    <row r="9" spans="1:28" x14ac:dyDescent="0.25">
      <c r="A9">
        <f t="shared" si="1"/>
        <v>8</v>
      </c>
      <c r="B9" s="1" t="s">
        <v>61</v>
      </c>
      <c r="C9" s="1" t="s">
        <v>69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40"/>
      <c r="Y9" s="40">
        <v>3.8549347420878954E-2</v>
      </c>
      <c r="Z9" s="5">
        <v>3.0000000000000034E-2</v>
      </c>
      <c r="AA9" s="39">
        <f t="shared" si="0"/>
        <v>0</v>
      </c>
      <c r="AB9" s="5">
        <f>tmp!L9</f>
        <v>3.0000000000000034E-2</v>
      </c>
    </row>
    <row r="10" spans="1:28" x14ac:dyDescent="0.25">
      <c r="A10">
        <f t="shared" si="1"/>
        <v>9</v>
      </c>
      <c r="B10" s="1" t="s">
        <v>61</v>
      </c>
      <c r="C10" s="1" t="s">
        <v>70</v>
      </c>
      <c r="D10" s="3"/>
      <c r="E10" s="3"/>
      <c r="F10" s="3"/>
      <c r="G10" s="3"/>
      <c r="H10" s="3">
        <v>1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40"/>
      <c r="Y10" s="40">
        <v>7.8199065609664081E-2</v>
      </c>
      <c r="Z10" s="5">
        <v>6.9999999999999743E-2</v>
      </c>
      <c r="AA10" s="39">
        <f t="shared" si="0"/>
        <v>7.0000000000000007E-2</v>
      </c>
      <c r="AB10" s="5">
        <f>tmp!L10</f>
        <v>6.9999999999999743E-2</v>
      </c>
    </row>
    <row r="11" spans="1:28" x14ac:dyDescent="0.25">
      <c r="A11">
        <f t="shared" si="1"/>
        <v>10</v>
      </c>
      <c r="B11" s="1" t="s">
        <v>61</v>
      </c>
      <c r="C11" s="1" t="s">
        <v>71</v>
      </c>
      <c r="D11" s="3"/>
      <c r="E11" s="3"/>
      <c r="F11" s="3"/>
      <c r="G11" s="3"/>
      <c r="H11" s="3"/>
      <c r="I11" s="3">
        <v>1</v>
      </c>
      <c r="J11" s="3"/>
      <c r="K11" s="3"/>
      <c r="L11" s="3"/>
      <c r="M11" s="3"/>
      <c r="N11" s="3"/>
      <c r="O11" s="3"/>
      <c r="P11" s="3"/>
      <c r="Q11" s="3"/>
      <c r="R11" s="3">
        <v>0.25</v>
      </c>
      <c r="S11" s="3"/>
      <c r="T11" s="3"/>
      <c r="U11" s="3"/>
      <c r="V11" s="3"/>
      <c r="W11" s="3">
        <v>0.2</v>
      </c>
      <c r="X11" s="40"/>
      <c r="Y11" s="40">
        <v>0.10868706475177665</v>
      </c>
      <c r="Z11" s="5">
        <v>0.1</v>
      </c>
      <c r="AA11" s="39">
        <f t="shared" si="0"/>
        <v>0.1</v>
      </c>
      <c r="AB11" s="5">
        <f>tmp!L11</f>
        <v>0.1</v>
      </c>
    </row>
    <row r="12" spans="1:28" x14ac:dyDescent="0.25">
      <c r="A12">
        <f t="shared" si="1"/>
        <v>11</v>
      </c>
      <c r="B12" s="1" t="s">
        <v>61</v>
      </c>
      <c r="C12" s="1" t="s">
        <v>72</v>
      </c>
      <c r="D12" s="3"/>
      <c r="E12" s="3"/>
      <c r="F12" s="3"/>
      <c r="G12" s="3"/>
      <c r="H12" s="3"/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>
        <v>0.2</v>
      </c>
      <c r="X12" s="40"/>
      <c r="Y12" s="40">
        <v>5.8530189041975191E-2</v>
      </c>
      <c r="Z12" s="5">
        <v>4.9999997088249544E-2</v>
      </c>
      <c r="AA12" s="39">
        <f t="shared" si="0"/>
        <v>0.05</v>
      </c>
      <c r="AB12" s="5">
        <f>tmp!L12</f>
        <v>4.9999997088249544E-2</v>
      </c>
    </row>
    <row r="13" spans="1:28" x14ac:dyDescent="0.25">
      <c r="A13">
        <f t="shared" si="1"/>
        <v>12</v>
      </c>
      <c r="B13" s="1" t="s">
        <v>61</v>
      </c>
      <c r="C13" s="1" t="s">
        <v>73</v>
      </c>
      <c r="D13" s="3"/>
      <c r="E13" s="3"/>
      <c r="F13" s="3"/>
      <c r="G13" s="3"/>
      <c r="H13" s="3"/>
      <c r="I13" s="3"/>
      <c r="J13" s="3"/>
      <c r="K13" s="3">
        <v>0.5</v>
      </c>
      <c r="L13" s="3"/>
      <c r="M13" s="3"/>
      <c r="N13" s="3">
        <v>0.25</v>
      </c>
      <c r="O13" s="3"/>
      <c r="P13" s="3"/>
      <c r="Q13" s="3">
        <v>0.2</v>
      </c>
      <c r="R13" s="3"/>
      <c r="S13" s="3"/>
      <c r="T13" s="3"/>
      <c r="U13" s="3"/>
      <c r="V13" s="3"/>
      <c r="W13" s="3"/>
      <c r="X13" s="40"/>
      <c r="Y13" s="40">
        <v>5.8530189041975191E-2</v>
      </c>
      <c r="Z13" s="5">
        <v>4.9999999999999989E-2</v>
      </c>
      <c r="AA13" s="39">
        <f t="shared" si="0"/>
        <v>0.05</v>
      </c>
      <c r="AB13" s="5">
        <f>tmp!L13</f>
        <v>4.9999999999999989E-2</v>
      </c>
    </row>
    <row r="14" spans="1:28" x14ac:dyDescent="0.25">
      <c r="A14">
        <f t="shared" si="1"/>
        <v>13</v>
      </c>
      <c r="B14" s="1" t="s">
        <v>61</v>
      </c>
      <c r="C14" s="1" t="s">
        <v>74</v>
      </c>
      <c r="D14" s="3"/>
      <c r="E14" s="3"/>
      <c r="F14" s="3"/>
      <c r="G14" s="3"/>
      <c r="H14" s="3"/>
      <c r="I14" s="3"/>
      <c r="J14" s="3"/>
      <c r="K14" s="3">
        <v>0.5</v>
      </c>
      <c r="L14" s="3"/>
      <c r="M14" s="3"/>
      <c r="N14" s="3">
        <v>0.25</v>
      </c>
      <c r="O14" s="3">
        <v>0.25</v>
      </c>
      <c r="P14" s="3"/>
      <c r="Q14" s="3">
        <v>0.4</v>
      </c>
      <c r="R14" s="3"/>
      <c r="S14" s="3"/>
      <c r="T14" s="3"/>
      <c r="U14" s="3"/>
      <c r="V14" s="3"/>
      <c r="W14" s="3"/>
      <c r="X14" s="40"/>
      <c r="Y14" s="40">
        <v>2.2408321179912545E-2</v>
      </c>
      <c r="Z14" s="5">
        <v>4.9999349087985798E-2</v>
      </c>
      <c r="AA14" s="39">
        <f t="shared" si="0"/>
        <v>0.05</v>
      </c>
      <c r="AB14" s="5">
        <f>tmp!L14</f>
        <v>4.9999349087985798E-2</v>
      </c>
    </row>
    <row r="15" spans="1:28" x14ac:dyDescent="0.25">
      <c r="A15">
        <f t="shared" si="1"/>
        <v>14</v>
      </c>
      <c r="B15" s="1" t="s">
        <v>61</v>
      </c>
      <c r="C15" s="1" t="s">
        <v>75</v>
      </c>
      <c r="D15" s="3"/>
      <c r="E15" s="3"/>
      <c r="F15" s="3"/>
      <c r="G15" s="3"/>
      <c r="H15" s="3"/>
      <c r="I15" s="3"/>
      <c r="J15" s="3"/>
      <c r="K15" s="3"/>
      <c r="L15" s="3">
        <v>0.5</v>
      </c>
      <c r="M15" s="3">
        <v>0.25</v>
      </c>
      <c r="N15" s="3"/>
      <c r="O15" s="3"/>
      <c r="P15" s="3"/>
      <c r="Q15" s="3"/>
      <c r="R15" s="3">
        <v>0.25</v>
      </c>
      <c r="S15" s="3"/>
      <c r="T15" s="3"/>
      <c r="U15" s="3"/>
      <c r="V15" s="3"/>
      <c r="W15" s="3"/>
      <c r="X15" s="40"/>
      <c r="Y15" s="40">
        <v>2.2408321179912535E-2</v>
      </c>
      <c r="Z15" s="5">
        <v>0.05</v>
      </c>
      <c r="AA15" s="39">
        <f t="shared" si="0"/>
        <v>0.05</v>
      </c>
      <c r="AB15" s="5">
        <f>tmp!L15</f>
        <v>0.05</v>
      </c>
    </row>
    <row r="16" spans="1:28" x14ac:dyDescent="0.25">
      <c r="A16">
        <f t="shared" si="1"/>
        <v>15</v>
      </c>
      <c r="B16" s="1" t="s">
        <v>61</v>
      </c>
      <c r="C16" s="1" t="s">
        <v>76</v>
      </c>
      <c r="D16" s="3"/>
      <c r="E16" s="3"/>
      <c r="F16" s="3"/>
      <c r="G16" s="3"/>
      <c r="H16" s="3"/>
      <c r="I16" s="3"/>
      <c r="J16" s="3"/>
      <c r="K16" s="3"/>
      <c r="L16" s="3"/>
      <c r="M16" s="3">
        <v>0.25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40"/>
      <c r="Y16" s="40">
        <v>3.7802603346372171E-2</v>
      </c>
      <c r="Z16" s="5">
        <v>4.9999999999999982E-2</v>
      </c>
      <c r="AA16" s="39">
        <f t="shared" si="0"/>
        <v>0.05</v>
      </c>
      <c r="AB16" s="5">
        <f>tmp!L16</f>
        <v>4.9999999999999982E-2</v>
      </c>
    </row>
    <row r="17" spans="1:28" x14ac:dyDescent="0.25">
      <c r="A17">
        <f t="shared" si="1"/>
        <v>16</v>
      </c>
      <c r="B17" s="1" t="s">
        <v>61</v>
      </c>
      <c r="C17" s="1" t="s">
        <v>77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>
        <v>0.25</v>
      </c>
      <c r="O17" s="3"/>
      <c r="P17" s="3"/>
      <c r="Q17" s="3"/>
      <c r="R17" s="3"/>
      <c r="S17" s="3">
        <v>0.55000000000000004</v>
      </c>
      <c r="T17" s="3"/>
      <c r="U17" s="3"/>
      <c r="V17" s="3">
        <v>0.1</v>
      </c>
      <c r="W17" s="3"/>
      <c r="X17" s="40"/>
      <c r="Y17" s="40">
        <v>3.3707834524475545E-2</v>
      </c>
      <c r="Z17" s="5">
        <v>1.2525385832705424E-17</v>
      </c>
      <c r="AA17" s="39">
        <f t="shared" si="0"/>
        <v>6.0000000000000001E-3</v>
      </c>
      <c r="AB17" s="5">
        <f>tmp!L17</f>
        <v>1.2525385832705424E-17</v>
      </c>
    </row>
    <row r="18" spans="1:28" x14ac:dyDescent="0.25">
      <c r="A18">
        <f t="shared" si="1"/>
        <v>17</v>
      </c>
      <c r="B18" s="1" t="s">
        <v>61</v>
      </c>
      <c r="C18" s="1" t="s">
        <v>78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>
        <v>0.25</v>
      </c>
      <c r="O18" s="3">
        <v>0.25</v>
      </c>
      <c r="P18" s="3"/>
      <c r="Q18" s="3"/>
      <c r="R18" s="3"/>
      <c r="S18" s="3">
        <v>0.45</v>
      </c>
      <c r="T18" s="3"/>
      <c r="U18" s="3"/>
      <c r="V18" s="3">
        <v>0.1</v>
      </c>
      <c r="W18" s="3"/>
      <c r="X18" s="40"/>
      <c r="Y18" s="40">
        <v>1.5281374825940736E-2</v>
      </c>
      <c r="Z18" s="5">
        <v>3.1301709905934973E-17</v>
      </c>
      <c r="AA18" s="39">
        <f t="shared" si="0"/>
        <v>6.0000000000000001E-3</v>
      </c>
      <c r="AB18" s="5">
        <f>tmp!L18</f>
        <v>3.1301709905934973E-17</v>
      </c>
    </row>
    <row r="19" spans="1:28" x14ac:dyDescent="0.25">
      <c r="A19">
        <f t="shared" si="1"/>
        <v>18</v>
      </c>
      <c r="B19" s="1" t="s">
        <v>61</v>
      </c>
      <c r="C19" s="1" t="s">
        <v>79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>
        <v>0.5</v>
      </c>
      <c r="P19" s="3"/>
      <c r="Q19" s="3">
        <v>0.4</v>
      </c>
      <c r="R19" s="3"/>
      <c r="S19" s="3"/>
      <c r="T19" s="3"/>
      <c r="U19" s="3"/>
      <c r="V19" s="3">
        <v>0.1</v>
      </c>
      <c r="W19" s="3">
        <v>0.2</v>
      </c>
      <c r="X19" s="40"/>
      <c r="Y19" s="40">
        <v>8.6739561674466469E-3</v>
      </c>
      <c r="Z19" s="5">
        <v>6.7611686342523285E-18</v>
      </c>
      <c r="AA19" s="39">
        <f t="shared" si="0"/>
        <v>6.0000000000000001E-3</v>
      </c>
      <c r="AB19" s="5">
        <f>tmp!L19</f>
        <v>6.7611686342523285E-18</v>
      </c>
    </row>
    <row r="20" spans="1:28" x14ac:dyDescent="0.25">
      <c r="A20">
        <f t="shared" si="1"/>
        <v>19</v>
      </c>
      <c r="B20" s="1" t="s">
        <v>61</v>
      </c>
      <c r="C20" s="1" t="s">
        <v>80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>
        <v>0.5</v>
      </c>
      <c r="Q20" s="3"/>
      <c r="R20" s="3"/>
      <c r="S20" s="3"/>
      <c r="T20" s="3">
        <v>0.75</v>
      </c>
      <c r="U20" s="3"/>
      <c r="V20" s="3"/>
      <c r="W20" s="3">
        <v>0.1</v>
      </c>
      <c r="X20" s="40"/>
      <c r="Y20" s="40">
        <v>0</v>
      </c>
      <c r="Z20" s="5">
        <v>2.016880027335511E-17</v>
      </c>
      <c r="AA20" s="39">
        <f t="shared" si="0"/>
        <v>0</v>
      </c>
      <c r="AB20" s="5">
        <f>tmp!L20</f>
        <v>2.016880027335511E-17</v>
      </c>
    </row>
    <row r="22" spans="1:28" x14ac:dyDescent="0.25">
      <c r="D22" s="35">
        <f>SUM(D2:D20)</f>
        <v>1</v>
      </c>
      <c r="E22" s="35">
        <f>SUM(E2:E20)</f>
        <v>1</v>
      </c>
      <c r="F22" s="35">
        <f t="shared" ref="F22:G22" si="2">SUM(F2:F20)</f>
        <v>1</v>
      </c>
      <c r="G22" s="35">
        <f t="shared" si="2"/>
        <v>1</v>
      </c>
      <c r="H22" s="35">
        <f t="shared" ref="H22:U22" si="3">SUM(H2:H20)</f>
        <v>1</v>
      </c>
      <c r="I22" s="35">
        <f t="shared" si="3"/>
        <v>1</v>
      </c>
      <c r="J22" s="35">
        <f t="shared" si="3"/>
        <v>1</v>
      </c>
      <c r="K22" s="35">
        <f t="shared" si="3"/>
        <v>1</v>
      </c>
      <c r="L22" s="35">
        <f t="shared" si="3"/>
        <v>1</v>
      </c>
      <c r="M22" s="35">
        <f t="shared" si="3"/>
        <v>1</v>
      </c>
      <c r="N22" s="35">
        <f t="shared" si="3"/>
        <v>1</v>
      </c>
      <c r="O22" s="35">
        <f t="shared" si="3"/>
        <v>1</v>
      </c>
      <c r="P22" s="35">
        <f t="shared" si="3"/>
        <v>1</v>
      </c>
      <c r="Q22" s="35">
        <f t="shared" si="3"/>
        <v>1</v>
      </c>
      <c r="R22" s="35">
        <f t="shared" si="3"/>
        <v>1</v>
      </c>
      <c r="S22" s="35">
        <f t="shared" si="3"/>
        <v>1</v>
      </c>
      <c r="T22" s="35">
        <f t="shared" si="3"/>
        <v>1</v>
      </c>
      <c r="U22" s="35">
        <f t="shared" si="3"/>
        <v>1</v>
      </c>
      <c r="V22" s="35">
        <f t="shared" ref="V22:AB22" si="4">SUM(V2:V20)</f>
        <v>1.0000000000000002</v>
      </c>
      <c r="W22" s="35">
        <f t="shared" si="4"/>
        <v>0.99999999999999989</v>
      </c>
      <c r="X22" s="35"/>
      <c r="Y22" s="35">
        <f t="shared" si="4"/>
        <v>1.0000000000000002</v>
      </c>
      <c r="Z22" s="35">
        <f t="shared" si="4"/>
        <v>0.99948870148421853</v>
      </c>
      <c r="AA22" s="35">
        <f t="shared" si="4"/>
        <v>1.0000000000000002</v>
      </c>
      <c r="AB22" s="35">
        <f t="shared" si="4"/>
        <v>0.99948870148421853</v>
      </c>
    </row>
    <row r="25" spans="1:28" x14ac:dyDescent="0.25">
      <c r="D25" s="39">
        <v>0.15</v>
      </c>
      <c r="E25" s="39">
        <v>0</v>
      </c>
      <c r="F25" s="39">
        <v>0.04</v>
      </c>
      <c r="G25" s="39">
        <v>0.1</v>
      </c>
      <c r="H25" s="39">
        <v>7.0000000000000007E-2</v>
      </c>
      <c r="I25" s="39">
        <v>0.1</v>
      </c>
      <c r="J25" s="39">
        <v>0.05</v>
      </c>
      <c r="K25" s="39">
        <v>0.1</v>
      </c>
      <c r="L25" s="39">
        <v>0</v>
      </c>
      <c r="M25" s="39">
        <v>0.2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0.13</v>
      </c>
      <c r="V25" s="39">
        <v>0.06</v>
      </c>
      <c r="W25" s="39">
        <v>0</v>
      </c>
      <c r="X25" s="39"/>
      <c r="Y25" s="39"/>
    </row>
    <row r="31" spans="1:28" x14ac:dyDescent="0.25">
      <c r="C31" s="16">
        <v>1.4E-2</v>
      </c>
      <c r="D31" s="39">
        <v>0.24810830783279761</v>
      </c>
      <c r="E31" s="39">
        <v>0</v>
      </c>
      <c r="F31" s="39">
        <v>5.4481159167396598E-18</v>
      </c>
      <c r="G31" s="39">
        <v>0.17271816179147489</v>
      </c>
      <c r="H31" s="39">
        <v>3.8549347420878954E-2</v>
      </c>
      <c r="I31" s="39">
        <v>7.8199065609664081E-2</v>
      </c>
      <c r="J31" s="39">
        <v>0.10868706475177665</v>
      </c>
      <c r="K31" s="39">
        <v>0.11706037808395035</v>
      </c>
      <c r="L31" s="39">
        <v>1.8892222855559915E-17</v>
      </c>
      <c r="M31" s="39">
        <v>8.9633284719650139E-2</v>
      </c>
      <c r="N31" s="39">
        <v>5.3139458978945786E-17</v>
      </c>
      <c r="O31" s="39">
        <v>0</v>
      </c>
      <c r="P31" s="39">
        <v>8.5295331758038096E-3</v>
      </c>
      <c r="Q31" s="39">
        <v>0</v>
      </c>
      <c r="R31" s="39">
        <v>0</v>
      </c>
      <c r="S31" s="39">
        <v>4.0947688218966209E-2</v>
      </c>
      <c r="T31" s="39">
        <v>5.8789194393929906E-3</v>
      </c>
      <c r="U31" s="39">
        <v>0</v>
      </c>
      <c r="V31" s="39">
        <v>9.1688248955644411E-2</v>
      </c>
      <c r="W31" s="39">
        <v>0</v>
      </c>
      <c r="X31" s="39"/>
      <c r="Y31" s="39"/>
    </row>
    <row r="32" spans="1:28" x14ac:dyDescent="0.25">
      <c r="D32">
        <v>0.15</v>
      </c>
      <c r="E32">
        <v>0</v>
      </c>
      <c r="F32">
        <v>0.04</v>
      </c>
      <c r="G32">
        <v>0.1</v>
      </c>
      <c r="H32">
        <v>7.0000000000000007E-2</v>
      </c>
      <c r="I32">
        <v>0.1</v>
      </c>
      <c r="J32">
        <v>0.05</v>
      </c>
      <c r="K32">
        <v>0.1</v>
      </c>
      <c r="L32">
        <v>0</v>
      </c>
      <c r="M32">
        <v>0.2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0.13</v>
      </c>
      <c r="V32">
        <v>0.06</v>
      </c>
      <c r="W32">
        <v>0</v>
      </c>
    </row>
    <row r="34" spans="1:25" x14ac:dyDescent="0.25">
      <c r="A34" t="s">
        <v>120</v>
      </c>
      <c r="B34" t="s">
        <v>121</v>
      </c>
      <c r="D34">
        <f t="shared" ref="D34:W34" si="5">IF(AND((D53&gt;=$D71),(D55&gt;=$D73),(D58&gt;=$D76),(D59&gt;=$D77),(D60&gt;=$D78),(D61&gt;=$D79),(D62&gt;=$D80)),1,0)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1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</row>
    <row r="35" spans="1:25" x14ac:dyDescent="0.25">
      <c r="B35" t="s">
        <v>122</v>
      </c>
      <c r="D35">
        <f t="shared" ref="D35:W35" si="6">IF(AND((D53&gt;=$E71),(D55&gt;=$E73),(D58&gt;=$E76),(D59&gt;=$E77),(D60&gt;=$E78),(D61&gt;=$E79),(D62&gt;=$E80)),1,0)</f>
        <v>0</v>
      </c>
      <c r="E35">
        <f t="shared" si="6"/>
        <v>0</v>
      </c>
      <c r="F35">
        <f t="shared" si="6"/>
        <v>0</v>
      </c>
      <c r="G35">
        <f t="shared" si="6"/>
        <v>0</v>
      </c>
      <c r="H35">
        <f t="shared" si="6"/>
        <v>1</v>
      </c>
      <c r="I35">
        <f t="shared" si="6"/>
        <v>1</v>
      </c>
      <c r="J35">
        <f t="shared" si="6"/>
        <v>0</v>
      </c>
      <c r="K35">
        <f t="shared" si="6"/>
        <v>0</v>
      </c>
      <c r="L35">
        <f t="shared" si="6"/>
        <v>0</v>
      </c>
      <c r="M35">
        <f t="shared" si="6"/>
        <v>0</v>
      </c>
      <c r="N35">
        <f t="shared" si="6"/>
        <v>1</v>
      </c>
      <c r="O35">
        <f t="shared" si="6"/>
        <v>0</v>
      </c>
      <c r="P35">
        <f t="shared" si="6"/>
        <v>0</v>
      </c>
      <c r="Q35">
        <f t="shared" si="6"/>
        <v>0</v>
      </c>
      <c r="R35">
        <f t="shared" si="6"/>
        <v>0</v>
      </c>
      <c r="S35">
        <f t="shared" si="6"/>
        <v>0</v>
      </c>
      <c r="T35">
        <f t="shared" si="6"/>
        <v>0</v>
      </c>
      <c r="U35">
        <f t="shared" si="6"/>
        <v>0</v>
      </c>
      <c r="V35">
        <f t="shared" si="6"/>
        <v>1</v>
      </c>
      <c r="W35">
        <f t="shared" si="6"/>
        <v>0</v>
      </c>
    </row>
    <row r="36" spans="1:25" x14ac:dyDescent="0.25">
      <c r="B36" t="s">
        <v>123</v>
      </c>
      <c r="D36">
        <f t="shared" ref="D36:W36" si="7">IF(AND((D53&gt;=$F71),(D55&gt;=$F73),(D58&gt;=$F76),(D59&gt;=$F77),(D60&gt;=$F78),(D61&gt;=$F79),(D62&gt;=$F80)),1,0)</f>
        <v>1</v>
      </c>
      <c r="E36">
        <f t="shared" si="7"/>
        <v>1</v>
      </c>
      <c r="F36">
        <f t="shared" si="7"/>
        <v>0</v>
      </c>
      <c r="G36">
        <f t="shared" si="7"/>
        <v>1</v>
      </c>
      <c r="H36">
        <f t="shared" si="7"/>
        <v>1</v>
      </c>
      <c r="I36">
        <f t="shared" si="7"/>
        <v>1</v>
      </c>
      <c r="J36">
        <f t="shared" si="7"/>
        <v>1</v>
      </c>
      <c r="K36">
        <f t="shared" si="7"/>
        <v>0</v>
      </c>
      <c r="L36">
        <f t="shared" si="7"/>
        <v>0</v>
      </c>
      <c r="M36">
        <f t="shared" si="7"/>
        <v>0</v>
      </c>
      <c r="N36">
        <f t="shared" si="7"/>
        <v>1</v>
      </c>
      <c r="O36">
        <f t="shared" si="7"/>
        <v>1</v>
      </c>
      <c r="P36">
        <f t="shared" si="7"/>
        <v>1</v>
      </c>
      <c r="Q36">
        <f t="shared" si="7"/>
        <v>0</v>
      </c>
      <c r="R36">
        <f t="shared" si="7"/>
        <v>0</v>
      </c>
      <c r="S36">
        <f t="shared" si="7"/>
        <v>0</v>
      </c>
      <c r="T36">
        <f t="shared" si="7"/>
        <v>1</v>
      </c>
      <c r="U36">
        <f t="shared" si="7"/>
        <v>0</v>
      </c>
      <c r="V36">
        <f t="shared" si="7"/>
        <v>1</v>
      </c>
      <c r="W36">
        <f t="shared" si="7"/>
        <v>1</v>
      </c>
    </row>
    <row r="37" spans="1:25" x14ac:dyDescent="0.25">
      <c r="B37" t="s">
        <v>124</v>
      </c>
      <c r="D37">
        <f t="shared" ref="D37:W37" si="8">IF(AND((D53&gt;=$G71),(D55&gt;=$G73),(D58&gt;=$G76),(D59&gt;=$G77),(D60&gt;=$G78),(D61&gt;=$G79),(D62&gt;=$G80)),1,0)</f>
        <v>1</v>
      </c>
      <c r="E37">
        <f t="shared" si="8"/>
        <v>1</v>
      </c>
      <c r="F37">
        <f t="shared" si="8"/>
        <v>1</v>
      </c>
      <c r="G37">
        <f t="shared" si="8"/>
        <v>1</v>
      </c>
      <c r="H37">
        <f t="shared" si="8"/>
        <v>1</v>
      </c>
      <c r="I37">
        <f t="shared" si="8"/>
        <v>1</v>
      </c>
      <c r="J37">
        <f t="shared" si="8"/>
        <v>0</v>
      </c>
      <c r="K37">
        <f t="shared" si="8"/>
        <v>1</v>
      </c>
      <c r="L37">
        <f t="shared" si="8"/>
        <v>1</v>
      </c>
      <c r="M37">
        <f t="shared" si="8"/>
        <v>1</v>
      </c>
      <c r="N37">
        <f t="shared" si="8"/>
        <v>1</v>
      </c>
      <c r="O37">
        <f t="shared" si="8"/>
        <v>0</v>
      </c>
      <c r="P37">
        <f t="shared" si="8"/>
        <v>0</v>
      </c>
      <c r="Q37">
        <f t="shared" si="8"/>
        <v>1</v>
      </c>
      <c r="R37">
        <f t="shared" si="8"/>
        <v>1</v>
      </c>
      <c r="S37">
        <f t="shared" si="8"/>
        <v>0</v>
      </c>
      <c r="T37">
        <f t="shared" si="8"/>
        <v>0</v>
      </c>
      <c r="U37">
        <f t="shared" si="8"/>
        <v>1</v>
      </c>
      <c r="V37">
        <f t="shared" si="8"/>
        <v>1</v>
      </c>
      <c r="W37">
        <f t="shared" si="8"/>
        <v>1</v>
      </c>
    </row>
    <row r="38" spans="1:25" x14ac:dyDescent="0.25">
      <c r="B38" t="s">
        <v>125</v>
      </c>
      <c r="D38">
        <f>+IF(SUM(D34:D37)=0,1,0)</f>
        <v>0</v>
      </c>
      <c r="E38">
        <f t="shared" ref="E38:W38" si="9">+IF(SUM(E34:E37)=0,1,0)</f>
        <v>0</v>
      </c>
      <c r="F38">
        <f t="shared" si="9"/>
        <v>0</v>
      </c>
      <c r="G38">
        <f t="shared" si="9"/>
        <v>0</v>
      </c>
      <c r="H38">
        <f t="shared" si="9"/>
        <v>0</v>
      </c>
      <c r="I38">
        <f t="shared" si="9"/>
        <v>0</v>
      </c>
      <c r="J38">
        <f t="shared" si="9"/>
        <v>0</v>
      </c>
      <c r="K38">
        <f t="shared" si="9"/>
        <v>0</v>
      </c>
      <c r="L38">
        <f t="shared" si="9"/>
        <v>0</v>
      </c>
      <c r="M38">
        <f t="shared" si="9"/>
        <v>0</v>
      </c>
      <c r="N38">
        <f t="shared" si="9"/>
        <v>0</v>
      </c>
      <c r="O38">
        <f t="shared" si="9"/>
        <v>0</v>
      </c>
      <c r="P38">
        <f t="shared" si="9"/>
        <v>0</v>
      </c>
      <c r="Q38">
        <f t="shared" si="9"/>
        <v>0</v>
      </c>
      <c r="R38">
        <f t="shared" si="9"/>
        <v>0</v>
      </c>
      <c r="S38">
        <f t="shared" si="9"/>
        <v>1</v>
      </c>
      <c r="T38">
        <f t="shared" si="9"/>
        <v>0</v>
      </c>
      <c r="U38">
        <f t="shared" si="9"/>
        <v>0</v>
      </c>
      <c r="V38">
        <f t="shared" si="9"/>
        <v>0</v>
      </c>
      <c r="W38">
        <f t="shared" si="9"/>
        <v>0</v>
      </c>
    </row>
    <row r="40" spans="1:25" x14ac:dyDescent="0.25">
      <c r="A40" t="s">
        <v>126</v>
      </c>
      <c r="B40" t="s">
        <v>121</v>
      </c>
      <c r="D40">
        <f>+D34</f>
        <v>0</v>
      </c>
      <c r="E40">
        <f t="shared" ref="E40:W40" si="10">+E34</f>
        <v>0</v>
      </c>
      <c r="F40">
        <f t="shared" si="10"/>
        <v>0</v>
      </c>
      <c r="G40">
        <f t="shared" si="10"/>
        <v>0</v>
      </c>
      <c r="H40">
        <f t="shared" si="10"/>
        <v>0</v>
      </c>
      <c r="I40">
        <f t="shared" si="10"/>
        <v>0</v>
      </c>
      <c r="J40">
        <f t="shared" si="10"/>
        <v>0</v>
      </c>
      <c r="K40">
        <f t="shared" si="10"/>
        <v>0</v>
      </c>
      <c r="L40">
        <f t="shared" si="10"/>
        <v>0</v>
      </c>
      <c r="M40">
        <f t="shared" si="10"/>
        <v>0</v>
      </c>
      <c r="N40">
        <f t="shared" si="10"/>
        <v>1</v>
      </c>
      <c r="O40">
        <f t="shared" si="10"/>
        <v>0</v>
      </c>
      <c r="P40">
        <f t="shared" si="10"/>
        <v>0</v>
      </c>
      <c r="Q40">
        <f t="shared" si="10"/>
        <v>0</v>
      </c>
      <c r="R40">
        <f t="shared" si="10"/>
        <v>0</v>
      </c>
      <c r="S40">
        <f t="shared" si="10"/>
        <v>0</v>
      </c>
      <c r="T40">
        <f t="shared" si="10"/>
        <v>0</v>
      </c>
      <c r="U40">
        <f t="shared" si="10"/>
        <v>0</v>
      </c>
      <c r="V40">
        <f t="shared" si="10"/>
        <v>0</v>
      </c>
      <c r="W40">
        <f t="shared" si="10"/>
        <v>0</v>
      </c>
      <c r="Y40">
        <f>COUNTIF(D40:W40,1)</f>
        <v>1</v>
      </c>
    </row>
    <row r="41" spans="1:25" x14ac:dyDescent="0.25">
      <c r="B41" t="s">
        <v>122</v>
      </c>
      <c r="D41">
        <f>IF(SUM(D40)&gt;0,0,D35)</f>
        <v>0</v>
      </c>
      <c r="E41">
        <f t="shared" ref="E41:W41" si="11">IF(SUM(E40)&gt;0,0,E35)</f>
        <v>0</v>
      </c>
      <c r="F41">
        <f t="shared" si="11"/>
        <v>0</v>
      </c>
      <c r="G41">
        <f t="shared" si="11"/>
        <v>0</v>
      </c>
      <c r="H41">
        <f t="shared" si="11"/>
        <v>1</v>
      </c>
      <c r="I41">
        <f t="shared" si="11"/>
        <v>1</v>
      </c>
      <c r="J41">
        <f t="shared" si="11"/>
        <v>0</v>
      </c>
      <c r="K41">
        <f t="shared" si="11"/>
        <v>0</v>
      </c>
      <c r="L41">
        <f t="shared" si="11"/>
        <v>0</v>
      </c>
      <c r="M41">
        <f t="shared" si="11"/>
        <v>0</v>
      </c>
      <c r="N41">
        <f t="shared" si="11"/>
        <v>0</v>
      </c>
      <c r="O41">
        <f t="shared" si="11"/>
        <v>0</v>
      </c>
      <c r="P41">
        <f t="shared" si="11"/>
        <v>0</v>
      </c>
      <c r="Q41">
        <f t="shared" si="11"/>
        <v>0</v>
      </c>
      <c r="R41">
        <f t="shared" si="11"/>
        <v>0</v>
      </c>
      <c r="S41">
        <f t="shared" si="11"/>
        <v>0</v>
      </c>
      <c r="T41">
        <f t="shared" si="11"/>
        <v>0</v>
      </c>
      <c r="U41">
        <f t="shared" si="11"/>
        <v>0</v>
      </c>
      <c r="V41">
        <f t="shared" si="11"/>
        <v>1</v>
      </c>
      <c r="W41">
        <f t="shared" si="11"/>
        <v>0</v>
      </c>
      <c r="Y41">
        <f>COUNTIF(D41:W41,1)</f>
        <v>3</v>
      </c>
    </row>
    <row r="42" spans="1:25" x14ac:dyDescent="0.25">
      <c r="B42" t="s">
        <v>123</v>
      </c>
      <c r="D42">
        <f>IF(SUM(D40:D41)&gt;0,0,D36)</f>
        <v>1</v>
      </c>
      <c r="E42">
        <f t="shared" ref="E42:W42" si="12">IF(SUM(E40:E41)&gt;0,0,E36)</f>
        <v>1</v>
      </c>
      <c r="F42">
        <f t="shared" si="12"/>
        <v>0</v>
      </c>
      <c r="G42">
        <f t="shared" si="12"/>
        <v>1</v>
      </c>
      <c r="H42">
        <f t="shared" si="12"/>
        <v>0</v>
      </c>
      <c r="I42">
        <f t="shared" si="12"/>
        <v>0</v>
      </c>
      <c r="J42">
        <f t="shared" si="12"/>
        <v>1</v>
      </c>
      <c r="K42">
        <f t="shared" si="12"/>
        <v>0</v>
      </c>
      <c r="L42">
        <f t="shared" si="12"/>
        <v>0</v>
      </c>
      <c r="M42">
        <f t="shared" si="12"/>
        <v>0</v>
      </c>
      <c r="N42">
        <f t="shared" si="12"/>
        <v>0</v>
      </c>
      <c r="O42">
        <f t="shared" si="12"/>
        <v>1</v>
      </c>
      <c r="P42">
        <f t="shared" si="12"/>
        <v>1</v>
      </c>
      <c r="Q42">
        <f t="shared" si="12"/>
        <v>0</v>
      </c>
      <c r="R42">
        <f t="shared" si="12"/>
        <v>0</v>
      </c>
      <c r="S42">
        <f t="shared" si="12"/>
        <v>0</v>
      </c>
      <c r="T42">
        <f t="shared" si="12"/>
        <v>1</v>
      </c>
      <c r="U42">
        <f t="shared" si="12"/>
        <v>0</v>
      </c>
      <c r="V42">
        <f t="shared" si="12"/>
        <v>0</v>
      </c>
      <c r="W42">
        <f t="shared" si="12"/>
        <v>1</v>
      </c>
      <c r="Y42">
        <f t="shared" ref="Y42:Y44" si="13">COUNTIF(D42:W42,1)</f>
        <v>8</v>
      </c>
    </row>
    <row r="43" spans="1:25" x14ac:dyDescent="0.25">
      <c r="B43" t="s">
        <v>124</v>
      </c>
      <c r="D43">
        <f>IF(SUM(D40:D42)&gt;0,0,D37)</f>
        <v>0</v>
      </c>
      <c r="E43">
        <f t="shared" ref="E43:W43" si="14">IF(SUM(E40:E42)&gt;0,0,E37)</f>
        <v>0</v>
      </c>
      <c r="F43">
        <f t="shared" si="14"/>
        <v>1</v>
      </c>
      <c r="G43">
        <f t="shared" si="14"/>
        <v>0</v>
      </c>
      <c r="H43">
        <f t="shared" si="14"/>
        <v>0</v>
      </c>
      <c r="I43">
        <f t="shared" si="14"/>
        <v>0</v>
      </c>
      <c r="J43">
        <f t="shared" si="14"/>
        <v>0</v>
      </c>
      <c r="K43">
        <f t="shared" si="14"/>
        <v>1</v>
      </c>
      <c r="L43">
        <f t="shared" si="14"/>
        <v>1</v>
      </c>
      <c r="M43">
        <f t="shared" si="14"/>
        <v>1</v>
      </c>
      <c r="N43">
        <f t="shared" si="14"/>
        <v>0</v>
      </c>
      <c r="O43">
        <f t="shared" si="14"/>
        <v>0</v>
      </c>
      <c r="P43">
        <f t="shared" si="14"/>
        <v>0</v>
      </c>
      <c r="Q43">
        <f t="shared" si="14"/>
        <v>1</v>
      </c>
      <c r="R43">
        <f t="shared" si="14"/>
        <v>1</v>
      </c>
      <c r="S43">
        <f t="shared" si="14"/>
        <v>0</v>
      </c>
      <c r="T43">
        <f t="shared" si="14"/>
        <v>0</v>
      </c>
      <c r="U43">
        <f t="shared" si="14"/>
        <v>1</v>
      </c>
      <c r="V43">
        <f t="shared" si="14"/>
        <v>0</v>
      </c>
      <c r="W43">
        <f t="shared" si="14"/>
        <v>0</v>
      </c>
      <c r="Y43">
        <f t="shared" si="13"/>
        <v>7</v>
      </c>
    </row>
    <row r="44" spans="1:25" x14ac:dyDescent="0.25">
      <c r="B44" t="s">
        <v>125</v>
      </c>
      <c r="D44">
        <f>+IF(SUM(D40:D43)=0,1,0)</f>
        <v>0</v>
      </c>
      <c r="E44">
        <f t="shared" ref="E44:W44" si="15">+IF(SUM(E40:E43)=0,1,0)</f>
        <v>0</v>
      </c>
      <c r="F44">
        <f t="shared" si="15"/>
        <v>0</v>
      </c>
      <c r="G44">
        <f t="shared" si="15"/>
        <v>0</v>
      </c>
      <c r="H44">
        <f t="shared" si="15"/>
        <v>0</v>
      </c>
      <c r="I44">
        <f t="shared" si="15"/>
        <v>0</v>
      </c>
      <c r="J44">
        <f t="shared" si="15"/>
        <v>0</v>
      </c>
      <c r="K44">
        <f t="shared" si="15"/>
        <v>0</v>
      </c>
      <c r="L44">
        <f t="shared" si="15"/>
        <v>0</v>
      </c>
      <c r="M44">
        <f t="shared" si="15"/>
        <v>0</v>
      </c>
      <c r="N44">
        <f t="shared" si="15"/>
        <v>0</v>
      </c>
      <c r="O44">
        <f t="shared" si="15"/>
        <v>0</v>
      </c>
      <c r="P44">
        <f t="shared" si="15"/>
        <v>0</v>
      </c>
      <c r="Q44">
        <f t="shared" si="15"/>
        <v>0</v>
      </c>
      <c r="R44">
        <f t="shared" si="15"/>
        <v>0</v>
      </c>
      <c r="S44">
        <f t="shared" si="15"/>
        <v>1</v>
      </c>
      <c r="T44">
        <f t="shared" si="15"/>
        <v>0</v>
      </c>
      <c r="U44">
        <f t="shared" si="15"/>
        <v>0</v>
      </c>
      <c r="V44">
        <f t="shared" si="15"/>
        <v>0</v>
      </c>
      <c r="W44">
        <f t="shared" si="15"/>
        <v>0</v>
      </c>
      <c r="Y44">
        <f t="shared" si="13"/>
        <v>1</v>
      </c>
    </row>
    <row r="46" spans="1:25" x14ac:dyDescent="0.25">
      <c r="B46" t="s">
        <v>127</v>
      </c>
      <c r="D46">
        <f>IF(D40=1,1,IF(D41=1,2,IF(D42=1,3,IF(D43=1,4,5))))</f>
        <v>3</v>
      </c>
      <c r="E46">
        <f t="shared" ref="E46:W46" si="16">IF(E40=1,1,IF(E41=1,2,IF(E42=1,3,IF(E43=1,4,5))))</f>
        <v>3</v>
      </c>
      <c r="F46">
        <f t="shared" si="16"/>
        <v>4</v>
      </c>
      <c r="G46">
        <f t="shared" si="16"/>
        <v>3</v>
      </c>
      <c r="H46">
        <f t="shared" si="16"/>
        <v>2</v>
      </c>
      <c r="I46">
        <f t="shared" si="16"/>
        <v>2</v>
      </c>
      <c r="J46">
        <f t="shared" si="16"/>
        <v>3</v>
      </c>
      <c r="K46">
        <f t="shared" si="16"/>
        <v>4</v>
      </c>
      <c r="L46">
        <f t="shared" si="16"/>
        <v>4</v>
      </c>
      <c r="M46">
        <f t="shared" si="16"/>
        <v>4</v>
      </c>
      <c r="N46">
        <f t="shared" si="16"/>
        <v>1</v>
      </c>
      <c r="O46">
        <f t="shared" si="16"/>
        <v>3</v>
      </c>
      <c r="P46">
        <f t="shared" si="16"/>
        <v>3</v>
      </c>
      <c r="Q46">
        <f t="shared" si="16"/>
        <v>4</v>
      </c>
      <c r="R46">
        <f t="shared" si="16"/>
        <v>4</v>
      </c>
      <c r="S46">
        <f t="shared" si="16"/>
        <v>5</v>
      </c>
      <c r="T46">
        <f t="shared" si="16"/>
        <v>3</v>
      </c>
      <c r="U46">
        <f t="shared" si="16"/>
        <v>4</v>
      </c>
      <c r="V46">
        <f t="shared" si="16"/>
        <v>2</v>
      </c>
      <c r="W46">
        <f t="shared" si="16"/>
        <v>3</v>
      </c>
    </row>
    <row r="48" spans="1:25" x14ac:dyDescent="0.25">
      <c r="A48" s="45" t="s">
        <v>128</v>
      </c>
      <c r="B48" t="s">
        <v>129</v>
      </c>
      <c r="C48" t="s">
        <v>130</v>
      </c>
      <c r="D48" s="7">
        <f>SUMPRODUCT(D2:D20,Base!$AI3:$AI21)</f>
        <v>0.13102420473328941</v>
      </c>
      <c r="E48" s="7">
        <f>SUMPRODUCT(E2:E20,Base!$AI3:$AI21)</f>
        <v>0.15074639052749317</v>
      </c>
      <c r="F48" s="7">
        <f>SUMPRODUCT(F2:F20,Base!$AI3:$AI21)</f>
        <v>0.2680296628426066</v>
      </c>
      <c r="G48" s="7">
        <f>SUMPRODUCT(G2:G20,Base!$AI3:$AI21)</f>
        <v>0.13945853288798016</v>
      </c>
      <c r="H48" s="7">
        <f>SUMPRODUCT(H2:H20,Base!$AI3:$AI21)</f>
        <v>0.3832905602756797</v>
      </c>
      <c r="I48" s="7">
        <f>SUMPRODUCT(I2:I20,Base!$AI3:$AI21)</f>
        <v>0.22370483501419047</v>
      </c>
      <c r="J48" s="7">
        <f>SUMPRODUCT(J2:J20,Base!$AI3:$AI21)</f>
        <v>0.12203342148941572</v>
      </c>
      <c r="K48" s="7">
        <f>SUMPRODUCT(K2:K20,Base!$AI3:$AI21)</f>
        <v>0.22060601560732401</v>
      </c>
      <c r="L48" s="7">
        <f>SUMPRODUCT(L2:L20,Base!$AI3:$AI21)</f>
        <v>0.23059904217471261</v>
      </c>
      <c r="M48" s="7">
        <f>SUMPRODUCT(M2:M20,Base!$AI3:$AI21)</f>
        <v>0.19900089633605192</v>
      </c>
      <c r="N48" s="7">
        <f>SUMPRODUCT(N2:N20,Base!$AI3:$AI21)</f>
        <v>0.16426345137508991</v>
      </c>
      <c r="O48" s="7">
        <f>SUMPRODUCT(O2:O20,Base!$AI3:$AI21)</f>
        <v>6.7662359251846924E-2</v>
      </c>
      <c r="P48" s="7">
        <f>SUMPRODUCT(P2:P20,Base!$AI3:$AI21)</f>
        <v>0.12429472468858216</v>
      </c>
      <c r="Q48" s="7">
        <f>SUMPRODUCT(Q2:Q20,Base!$AI3:$AI21)</f>
        <v>0.12632656917550789</v>
      </c>
      <c r="R48" s="7">
        <f>SUMPRODUCT(R2:R20,Base!$AI3:$AI21)</f>
        <v>0.23823314555155556</v>
      </c>
      <c r="S48" s="7">
        <f>SUMPRODUCT(S2:S20,Base!$AI3:$AI21)</f>
        <v>0.11069011362269174</v>
      </c>
      <c r="T48" s="7">
        <f>SUMPRODUCT(T2:T20,Base!$AI3:$AI21)</f>
        <v>0.11671282058888317</v>
      </c>
      <c r="U48" s="7">
        <f>SUMPRODUCT(U2:U20,Base!$AI3:$AI21)</f>
        <v>0.25432958045951148</v>
      </c>
      <c r="V48" s="7">
        <f>SUMPRODUCT(V2:V20,Base!$AI3:$AI21)</f>
        <v>0.15346367861941573</v>
      </c>
      <c r="W48" s="7">
        <f>SUMPRODUCT(W2:W20,Base!$AI3:$AI21)</f>
        <v>0.12547585911274639</v>
      </c>
    </row>
    <row r="49" spans="1:23" x14ac:dyDescent="0.25">
      <c r="A49" s="45" t="s">
        <v>128</v>
      </c>
      <c r="B49" t="s">
        <v>131</v>
      </c>
      <c r="C49" t="s">
        <v>130</v>
      </c>
      <c r="D49" s="7">
        <f>SUMPRODUCT(D2:D20,Base!$AJ3:$AJ21)</f>
        <v>6.2251916119914388E-2</v>
      </c>
      <c r="E49" s="7">
        <f>SUMPRODUCT(E2:E20,Base!$AJ3:$AJ21)</f>
        <v>6.8824544617960601E-2</v>
      </c>
      <c r="F49" s="7">
        <f>SUMPRODUCT(F2:F20,Base!$AJ3:$AJ21)</f>
        <v>0.10449423306183359</v>
      </c>
      <c r="G49" s="7">
        <f>SUMPRODUCT(G2:G20,Base!$AJ3:$AJ21)</f>
        <v>6.01078929277966E-2</v>
      </c>
      <c r="H49" s="7">
        <f>SUMPRODUCT(H2:H20,Base!$AJ3:$AJ21)</f>
        <v>0.14494086306054738</v>
      </c>
      <c r="I49" s="7">
        <f>SUMPRODUCT(I2:I20,Base!$AJ3:$AJ21)</f>
        <v>0.10597115652286128</v>
      </c>
      <c r="J49" s="7">
        <f>SUMPRODUCT(J2:J20,Base!$AJ3:$AJ21)</f>
        <v>8.1525848478989603E-3</v>
      </c>
      <c r="K49" s="7">
        <f>SUMPRODUCT(K2:K20,Base!$AJ3:$AJ21)</f>
        <v>0.13390339619667418</v>
      </c>
      <c r="L49" s="7">
        <f>SUMPRODUCT(L2:L20,Base!$AJ3:$AJ21)</f>
        <v>0.13385106821780965</v>
      </c>
      <c r="M49" s="7">
        <f>SUMPRODUCT(M2:M20,Base!$AJ3:$AJ21)</f>
        <v>0.1099034397584335</v>
      </c>
      <c r="N49" s="7">
        <f>SUMPRODUCT(N2:N20,Base!$AJ3:$AJ21)</f>
        <v>0.11315075440904809</v>
      </c>
      <c r="O49" s="7">
        <f>SUMPRODUCT(O2:O20,Base!$AJ3:$AJ21)</f>
        <v>5.2768808297422844E-2</v>
      </c>
      <c r="P49" s="7">
        <f>SUMPRODUCT(P2:P20,Base!$AJ3:$AJ21)</f>
        <v>3.1462095472584391E-2</v>
      </c>
      <c r="Q49" s="7">
        <f>SUMPRODUCT(Q2:Q20,Base!$AJ3:$AJ21)</f>
        <v>7.9594684948299979E-2</v>
      </c>
      <c r="R49" s="7">
        <f>SUMPRODUCT(R2:R20,Base!$AJ3:$AJ21)</f>
        <v>0.11954188150507854</v>
      </c>
      <c r="S49" s="7">
        <f>SUMPRODUCT(S2:S20,Base!$AJ3:$AJ21)</f>
        <v>9.3547063799410232E-2</v>
      </c>
      <c r="T49" s="7">
        <f>SUMPRODUCT(T2:T20,Base!$AJ3:$AJ21)</f>
        <v>1.7139196744978283E-2</v>
      </c>
      <c r="U49" s="7">
        <f>SUMPRODUCT(U2:U20,Base!$AJ3:$AJ21)</f>
        <v>8.5305686294407573E-2</v>
      </c>
      <c r="V49" s="7">
        <f>SUMPRODUCT(V2:V20,Base!$AJ3:$AJ21)</f>
        <v>6.8343380173393628E-2</v>
      </c>
      <c r="W49" s="7">
        <f>SUMPRODUCT(W2:W20,Base!$AJ3:$AJ21)</f>
        <v>4.3225187385635626E-2</v>
      </c>
    </row>
    <row r="50" spans="1:23" x14ac:dyDescent="0.25">
      <c r="A50" s="45" t="s">
        <v>128</v>
      </c>
      <c r="B50" t="s">
        <v>33</v>
      </c>
      <c r="C50" t="s">
        <v>130</v>
      </c>
      <c r="D50" s="33">
        <f>SUMPRODUCT(D2:D20,Base!$AX3:$AX21)</f>
        <v>1.67E-2</v>
      </c>
      <c r="E50" s="33">
        <f>SUMPRODUCT(E2:E20,Base!$AX3:$AX21)</f>
        <v>1.5600000000000003E-2</v>
      </c>
      <c r="F50" s="33">
        <f>SUMPRODUCT(F2:F20,Base!$AX3:$AX21)</f>
        <v>1.2500000000000001E-2</v>
      </c>
      <c r="G50" s="33">
        <f>SUMPRODUCT(G2:G20,Base!$AX3:$AX21)</f>
        <v>1.7500000000000002E-2</v>
      </c>
      <c r="H50" s="33">
        <f>SUMPRODUCT(H2:H20,Base!$AX3:$AX21)</f>
        <v>1.4999999999999999E-2</v>
      </c>
      <c r="I50" s="33">
        <f>SUMPRODUCT(I2:I20,Base!$AX3:$AX21)</f>
        <v>1.4999999999999999E-2</v>
      </c>
      <c r="J50" s="33">
        <f>SUMPRODUCT(J2:J20,Base!$AX3:$AX21)</f>
        <v>1.4999999999999999E-2</v>
      </c>
      <c r="K50" s="33">
        <f>SUMPRODUCT(K2:K20,Base!$AX3:$AX21)</f>
        <v>1.375E-2</v>
      </c>
      <c r="L50" s="33">
        <f>SUMPRODUCT(L2:L20,Base!$AX3:$AX21)</f>
        <v>1.125E-2</v>
      </c>
      <c r="M50" s="33">
        <f>SUMPRODUCT(M2:M20,Base!$AX3:$AX21)</f>
        <v>1.1875E-2</v>
      </c>
      <c r="N50" s="33">
        <f>SUMPRODUCT(N2:N20,Base!$AX3:$AX21)</f>
        <v>1.6875000000000001E-2</v>
      </c>
      <c r="O50" s="33">
        <f>SUMPRODUCT(O2:O20,Base!$AX3:$AX21)</f>
        <v>0.02</v>
      </c>
      <c r="P50" s="33">
        <f>SUMPRODUCT(P2:P20,Base!$AX3:$AX21)</f>
        <v>1.7500000000000002E-2</v>
      </c>
      <c r="Q50" s="33">
        <f>SUMPRODUCT(Q2:Q20,Base!$AX3:$AX21)</f>
        <v>1.6500000000000001E-2</v>
      </c>
      <c r="R50" s="33">
        <f>SUMPRODUCT(R2:R20,Base!$AX3:$AX21)</f>
        <v>1.2500000000000001E-2</v>
      </c>
      <c r="S50" s="33">
        <f>SUMPRODUCT(S2:S20,Base!$AX3:$AX21)</f>
        <v>1.9500000000000003E-2</v>
      </c>
      <c r="T50" s="33">
        <f>SUMPRODUCT(T2:T20,Base!$AX3:$AX21)</f>
        <v>1.7500000000000002E-2</v>
      </c>
      <c r="U50" s="33">
        <f>SUMPRODUCT(U2:U20,Base!$AX3:$AX21)</f>
        <v>1.0500000000000001E-2</v>
      </c>
      <c r="V50" s="33">
        <f>SUMPRODUCT(V2:V20,Base!$AX3:$AX21)</f>
        <v>1.5500000000000002E-2</v>
      </c>
      <c r="W50" s="33">
        <f>SUMPRODUCT(W2:W20,Base!$AX3:$AX21)</f>
        <v>1.7000000000000001E-2</v>
      </c>
    </row>
    <row r="51" spans="1:23" x14ac:dyDescent="0.25">
      <c r="A51" s="45" t="s">
        <v>128</v>
      </c>
      <c r="B51" t="s">
        <v>132</v>
      </c>
      <c r="C51" t="s">
        <v>130</v>
      </c>
      <c r="D51" s="43">
        <f>D48/D$50</f>
        <v>7.8457607624724197</v>
      </c>
      <c r="E51" s="43">
        <f t="shared" ref="E51:W51" si="17">E48/E$50</f>
        <v>9.6632301620187917</v>
      </c>
      <c r="F51" s="43">
        <f t="shared" si="17"/>
        <v>21.442373027408525</v>
      </c>
      <c r="G51" s="43">
        <f t="shared" si="17"/>
        <v>7.9690590221702937</v>
      </c>
      <c r="H51" s="43">
        <f t="shared" si="17"/>
        <v>25.552704018378648</v>
      </c>
      <c r="I51" s="43">
        <f t="shared" si="17"/>
        <v>14.913655667612698</v>
      </c>
      <c r="J51" s="43">
        <f t="shared" si="17"/>
        <v>8.1355614326277141</v>
      </c>
      <c r="K51" s="43">
        <f t="shared" si="17"/>
        <v>16.044073862350839</v>
      </c>
      <c r="L51" s="43">
        <f t="shared" si="17"/>
        <v>20.497692637752234</v>
      </c>
      <c r="M51" s="43">
        <f t="shared" si="17"/>
        <v>16.757970217772794</v>
      </c>
      <c r="N51" s="43">
        <f t="shared" si="17"/>
        <v>9.7341304518571796</v>
      </c>
      <c r="O51" s="43">
        <f t="shared" si="17"/>
        <v>3.3831179625923462</v>
      </c>
      <c r="P51" s="43">
        <f t="shared" si="17"/>
        <v>7.1025556964904082</v>
      </c>
      <c r="Q51" s="43">
        <f t="shared" si="17"/>
        <v>7.6561557076065379</v>
      </c>
      <c r="R51" s="43">
        <f t="shared" si="17"/>
        <v>19.058651644124442</v>
      </c>
      <c r="S51" s="43">
        <f t="shared" si="17"/>
        <v>5.6764160832149599</v>
      </c>
      <c r="T51" s="43">
        <f t="shared" si="17"/>
        <v>6.6693040336504668</v>
      </c>
      <c r="U51" s="43">
        <f t="shared" si="17"/>
        <v>24.22186480566776</v>
      </c>
      <c r="V51" s="43">
        <f t="shared" si="17"/>
        <v>9.9008824915752083</v>
      </c>
      <c r="W51" s="43">
        <f t="shared" si="17"/>
        <v>7.3809328889850816</v>
      </c>
    </row>
    <row r="52" spans="1:23" x14ac:dyDescent="0.25">
      <c r="A52" s="45" t="s">
        <v>128</v>
      </c>
      <c r="B52" t="s">
        <v>133</v>
      </c>
      <c r="C52" t="s">
        <v>130</v>
      </c>
      <c r="D52" s="43">
        <f>D49/D$50</f>
        <v>3.7276596478990651</v>
      </c>
      <c r="E52" s="43">
        <f t="shared" ref="E52:W52" si="18">E49/E$50</f>
        <v>4.4118297832026014</v>
      </c>
      <c r="F52" s="43">
        <f t="shared" si="18"/>
        <v>8.3595386449466869</v>
      </c>
      <c r="G52" s="43">
        <f t="shared" si="18"/>
        <v>3.434736738731234</v>
      </c>
      <c r="H52" s="43">
        <f t="shared" si="18"/>
        <v>9.6627242040364916</v>
      </c>
      <c r="I52" s="43">
        <f t="shared" si="18"/>
        <v>7.0647437681907519</v>
      </c>
      <c r="J52" s="43">
        <f t="shared" si="18"/>
        <v>0.54350565652659732</v>
      </c>
      <c r="K52" s="43">
        <f t="shared" si="18"/>
        <v>9.7384288143035764</v>
      </c>
      <c r="L52" s="43">
        <f t="shared" si="18"/>
        <v>11.897872730471969</v>
      </c>
      <c r="M52" s="43">
        <f t="shared" si="18"/>
        <v>9.2550265059733476</v>
      </c>
      <c r="N52" s="43">
        <f t="shared" si="18"/>
        <v>6.7052298909065531</v>
      </c>
      <c r="O52" s="43">
        <f t="shared" si="18"/>
        <v>2.638440414871142</v>
      </c>
      <c r="P52" s="43">
        <f t="shared" si="18"/>
        <v>1.7978340270048221</v>
      </c>
      <c r="Q52" s="43">
        <f t="shared" si="18"/>
        <v>4.8239202998969679</v>
      </c>
      <c r="R52" s="43">
        <f t="shared" si="18"/>
        <v>9.5633505204062832</v>
      </c>
      <c r="S52" s="43">
        <f t="shared" si="18"/>
        <v>4.7972853230466779</v>
      </c>
      <c r="T52" s="43">
        <f t="shared" si="18"/>
        <v>0.97938267114161603</v>
      </c>
      <c r="U52" s="43">
        <f t="shared" si="18"/>
        <v>8.124351075657863</v>
      </c>
      <c r="V52" s="43">
        <f t="shared" si="18"/>
        <v>4.4092503337673303</v>
      </c>
      <c r="W52" s="43">
        <f t="shared" si="18"/>
        <v>2.542658081507978</v>
      </c>
    </row>
    <row r="53" spans="1:23" x14ac:dyDescent="0.25">
      <c r="A53" s="45" t="s">
        <v>128</v>
      </c>
      <c r="B53" t="s">
        <v>134</v>
      </c>
      <c r="C53" t="s">
        <v>135</v>
      </c>
      <c r="D53" s="44">
        <f>IF(D48&lt;=_xlfn.QUARTILE.EXC($D48:$W48,1),1,IF(D48&lt;=_xlfn.QUARTILE.EXC($D48:$W48,2),2,IF(D48&lt;=_xlfn.QUARTILE.EXC($D48:$W48,3),3,4)))</f>
        <v>2</v>
      </c>
      <c r="E53" s="44">
        <f t="shared" ref="E53:W54" si="19">IF(E48&lt;=_xlfn.QUARTILE.EXC($D48:$W48,1),1,IF(E48&lt;=_xlfn.QUARTILE.EXC($D48:$W48,2),2,IF(E48&lt;=_xlfn.QUARTILE.EXC($D48:$W48,3),3,4)))</f>
        <v>2</v>
      </c>
      <c r="F53" s="44">
        <f t="shared" si="19"/>
        <v>4</v>
      </c>
      <c r="G53" s="44">
        <f t="shared" si="19"/>
        <v>2</v>
      </c>
      <c r="H53" s="44">
        <f t="shared" si="19"/>
        <v>4</v>
      </c>
      <c r="I53" s="44">
        <f t="shared" si="19"/>
        <v>3</v>
      </c>
      <c r="J53" s="44">
        <f t="shared" si="19"/>
        <v>1</v>
      </c>
      <c r="K53" s="44">
        <f t="shared" si="19"/>
        <v>3</v>
      </c>
      <c r="L53" s="44">
        <f t="shared" si="19"/>
        <v>4</v>
      </c>
      <c r="M53" s="44">
        <f t="shared" si="19"/>
        <v>3</v>
      </c>
      <c r="N53" s="44">
        <f t="shared" si="19"/>
        <v>3</v>
      </c>
      <c r="O53" s="44">
        <f t="shared" si="19"/>
        <v>1</v>
      </c>
      <c r="P53" s="44">
        <f t="shared" si="19"/>
        <v>1</v>
      </c>
      <c r="Q53" s="44">
        <f t="shared" si="19"/>
        <v>2</v>
      </c>
      <c r="R53" s="44">
        <f t="shared" si="19"/>
        <v>4</v>
      </c>
      <c r="S53" s="44">
        <f t="shared" si="19"/>
        <v>1</v>
      </c>
      <c r="T53" s="44">
        <f t="shared" si="19"/>
        <v>1</v>
      </c>
      <c r="U53" s="44">
        <f t="shared" si="19"/>
        <v>4</v>
      </c>
      <c r="V53" s="44">
        <f t="shared" si="19"/>
        <v>3</v>
      </c>
      <c r="W53" s="44">
        <f t="shared" si="19"/>
        <v>2</v>
      </c>
    </row>
    <row r="54" spans="1:23" x14ac:dyDescent="0.25">
      <c r="A54" s="45" t="s">
        <v>128</v>
      </c>
      <c r="B54" t="s">
        <v>136</v>
      </c>
      <c r="C54" t="s">
        <v>135</v>
      </c>
      <c r="D54" s="44">
        <f>IF(D49&lt;=_xlfn.QUARTILE.EXC($D49:$W49,1),1,IF(D49&lt;=_xlfn.QUARTILE.EXC($D49:$W49,2),2,IF(D49&lt;=_xlfn.QUARTILE.EXC($D49:$W49,3),3,4)))</f>
        <v>2</v>
      </c>
      <c r="E54" s="44">
        <f t="shared" si="19"/>
        <v>2</v>
      </c>
      <c r="F54" s="44">
        <f t="shared" si="19"/>
        <v>3</v>
      </c>
      <c r="G54" s="44">
        <f t="shared" si="19"/>
        <v>2</v>
      </c>
      <c r="H54" s="44">
        <f t="shared" si="19"/>
        <v>4</v>
      </c>
      <c r="I54" s="44">
        <f t="shared" si="19"/>
        <v>3</v>
      </c>
      <c r="J54" s="44">
        <f t="shared" si="19"/>
        <v>1</v>
      </c>
      <c r="K54" s="44">
        <f t="shared" si="19"/>
        <v>4</v>
      </c>
      <c r="L54" s="44">
        <f t="shared" si="19"/>
        <v>4</v>
      </c>
      <c r="M54" s="44">
        <f t="shared" si="19"/>
        <v>3</v>
      </c>
      <c r="N54" s="44">
        <f t="shared" si="19"/>
        <v>4</v>
      </c>
      <c r="O54" s="44">
        <f t="shared" si="19"/>
        <v>1</v>
      </c>
      <c r="P54" s="44">
        <f t="shared" si="19"/>
        <v>1</v>
      </c>
      <c r="Q54" s="44">
        <f t="shared" si="19"/>
        <v>2</v>
      </c>
      <c r="R54" s="44">
        <f t="shared" si="19"/>
        <v>4</v>
      </c>
      <c r="S54" s="44">
        <f t="shared" si="19"/>
        <v>3</v>
      </c>
      <c r="T54" s="44">
        <f t="shared" si="19"/>
        <v>1</v>
      </c>
      <c r="U54" s="44">
        <f t="shared" si="19"/>
        <v>3</v>
      </c>
      <c r="V54" s="44">
        <f t="shared" si="19"/>
        <v>2</v>
      </c>
      <c r="W54" s="44">
        <f t="shared" si="19"/>
        <v>1</v>
      </c>
    </row>
    <row r="55" spans="1:23" x14ac:dyDescent="0.25">
      <c r="A55" s="45" t="s">
        <v>137</v>
      </c>
      <c r="B55" t="s">
        <v>138</v>
      </c>
      <c r="C55" t="s">
        <v>135</v>
      </c>
      <c r="D55" s="44">
        <f t="shared" ref="D55:W55" si="20">IF(D50&lt;=_xlfn.QUARTILE.EXC($D50:$W50,1),1,IF(D50&lt;=_xlfn.QUARTILE.EXC($D50:$W50,2),2,IF(D50&lt;=_xlfn.QUARTILE.EXC($D50:$W50,3),3,4)))</f>
        <v>3</v>
      </c>
      <c r="E55" s="44">
        <f t="shared" si="20"/>
        <v>3</v>
      </c>
      <c r="F55" s="44">
        <f t="shared" si="20"/>
        <v>1</v>
      </c>
      <c r="G55" s="44">
        <f t="shared" si="20"/>
        <v>4</v>
      </c>
      <c r="H55" s="44">
        <f t="shared" si="20"/>
        <v>2</v>
      </c>
      <c r="I55" s="44">
        <f t="shared" si="20"/>
        <v>2</v>
      </c>
      <c r="J55" s="44">
        <f t="shared" si="20"/>
        <v>2</v>
      </c>
      <c r="K55" s="44">
        <f t="shared" si="20"/>
        <v>2</v>
      </c>
      <c r="L55" s="44">
        <f t="shared" si="20"/>
        <v>1</v>
      </c>
      <c r="M55" s="44">
        <f t="shared" si="20"/>
        <v>1</v>
      </c>
      <c r="N55" s="44">
        <f t="shared" si="20"/>
        <v>3</v>
      </c>
      <c r="O55" s="44">
        <f t="shared" si="20"/>
        <v>4</v>
      </c>
      <c r="P55" s="44">
        <f t="shared" si="20"/>
        <v>4</v>
      </c>
      <c r="Q55" s="44">
        <f t="shared" si="20"/>
        <v>3</v>
      </c>
      <c r="R55" s="44">
        <f t="shared" si="20"/>
        <v>1</v>
      </c>
      <c r="S55" s="44">
        <f t="shared" si="20"/>
        <v>4</v>
      </c>
      <c r="T55" s="44">
        <f t="shared" si="20"/>
        <v>4</v>
      </c>
      <c r="U55" s="44">
        <f t="shared" si="20"/>
        <v>1</v>
      </c>
      <c r="V55" s="44">
        <f t="shared" si="20"/>
        <v>2</v>
      </c>
      <c r="W55" s="44">
        <f t="shared" si="20"/>
        <v>3</v>
      </c>
    </row>
    <row r="56" spans="1:23" x14ac:dyDescent="0.25">
      <c r="A56" s="45" t="s">
        <v>137</v>
      </c>
      <c r="B56" t="s">
        <v>139</v>
      </c>
      <c r="C56" t="s">
        <v>135</v>
      </c>
      <c r="D56" s="44">
        <f t="shared" ref="D56:W57" si="21">IF(D51&lt;=_xlfn.QUARTILE.EXC($D51:$W51,1),1,IF(D51&lt;=_xlfn.QUARTILE.EXC($D51:$W51,2),2,IF(D51&lt;=_xlfn.QUARTILE.EXC($D51:$W51,3),3,4)))</f>
        <v>2</v>
      </c>
      <c r="E56" s="44">
        <f t="shared" si="21"/>
        <v>2</v>
      </c>
      <c r="F56" s="44">
        <f t="shared" si="21"/>
        <v>4</v>
      </c>
      <c r="G56" s="44">
        <f t="shared" si="21"/>
        <v>2</v>
      </c>
      <c r="H56" s="44">
        <f t="shared" si="21"/>
        <v>4</v>
      </c>
      <c r="I56" s="44">
        <f t="shared" si="21"/>
        <v>3</v>
      </c>
      <c r="J56" s="44">
        <f t="shared" si="21"/>
        <v>2</v>
      </c>
      <c r="K56" s="44">
        <f t="shared" si="21"/>
        <v>3</v>
      </c>
      <c r="L56" s="44">
        <f t="shared" si="21"/>
        <v>4</v>
      </c>
      <c r="M56" s="44">
        <f t="shared" si="21"/>
        <v>3</v>
      </c>
      <c r="N56" s="44">
        <f t="shared" si="21"/>
        <v>3</v>
      </c>
      <c r="O56" s="44">
        <f t="shared" si="21"/>
        <v>1</v>
      </c>
      <c r="P56" s="44">
        <f t="shared" si="21"/>
        <v>1</v>
      </c>
      <c r="Q56" s="44">
        <f t="shared" si="21"/>
        <v>2</v>
      </c>
      <c r="R56" s="44">
        <f t="shared" si="21"/>
        <v>4</v>
      </c>
      <c r="S56" s="44">
        <f t="shared" si="21"/>
        <v>1</v>
      </c>
      <c r="T56" s="44">
        <f t="shared" si="21"/>
        <v>1</v>
      </c>
      <c r="U56" s="44">
        <f t="shared" si="21"/>
        <v>4</v>
      </c>
      <c r="V56" s="44">
        <f t="shared" si="21"/>
        <v>3</v>
      </c>
      <c r="W56" s="44">
        <f t="shared" si="21"/>
        <v>1</v>
      </c>
    </row>
    <row r="57" spans="1:23" x14ac:dyDescent="0.25">
      <c r="A57" s="45" t="s">
        <v>137</v>
      </c>
      <c r="B57" t="s">
        <v>140</v>
      </c>
      <c r="C57" t="s">
        <v>135</v>
      </c>
      <c r="D57" s="44">
        <f>IF(D52&lt;=_xlfn.QUARTILE.EXC($D52:$W52,1),1,IF(D52&lt;=_xlfn.QUARTILE.EXC($D52:$W52,2),2,IF(D52&lt;=_xlfn.QUARTILE.EXC($D52:$W52,3),3,4)))</f>
        <v>2</v>
      </c>
      <c r="E57" s="44">
        <f t="shared" si="21"/>
        <v>2</v>
      </c>
      <c r="F57" s="44">
        <f t="shared" si="21"/>
        <v>3</v>
      </c>
      <c r="G57" s="44">
        <f t="shared" si="21"/>
        <v>2</v>
      </c>
      <c r="H57" s="44">
        <f t="shared" si="21"/>
        <v>4</v>
      </c>
      <c r="I57" s="44">
        <f t="shared" si="21"/>
        <v>3</v>
      </c>
      <c r="J57" s="44">
        <f t="shared" si="21"/>
        <v>1</v>
      </c>
      <c r="K57" s="44">
        <f t="shared" si="21"/>
        <v>4</v>
      </c>
      <c r="L57" s="44">
        <f t="shared" si="21"/>
        <v>4</v>
      </c>
      <c r="M57" s="44">
        <f t="shared" si="21"/>
        <v>4</v>
      </c>
      <c r="N57" s="44">
        <f t="shared" si="21"/>
        <v>3</v>
      </c>
      <c r="O57" s="44">
        <f t="shared" si="21"/>
        <v>1</v>
      </c>
      <c r="P57" s="44">
        <f t="shared" si="21"/>
        <v>1</v>
      </c>
      <c r="Q57" s="44">
        <f t="shared" si="21"/>
        <v>3</v>
      </c>
      <c r="R57" s="44">
        <f t="shared" si="21"/>
        <v>4</v>
      </c>
      <c r="S57" s="44">
        <f t="shared" si="21"/>
        <v>2</v>
      </c>
      <c r="T57" s="44">
        <f t="shared" si="21"/>
        <v>1</v>
      </c>
      <c r="U57" s="44">
        <f t="shared" si="21"/>
        <v>3</v>
      </c>
      <c r="V57" s="44">
        <f t="shared" si="21"/>
        <v>2</v>
      </c>
      <c r="W57" s="44">
        <f t="shared" si="21"/>
        <v>1</v>
      </c>
    </row>
    <row r="58" spans="1:23" x14ac:dyDescent="0.25">
      <c r="A58" s="45"/>
      <c r="B58" t="s">
        <v>141</v>
      </c>
      <c r="C58" t="s">
        <v>142</v>
      </c>
      <c r="D58" s="46">
        <v>4</v>
      </c>
      <c r="E58" s="46">
        <v>4</v>
      </c>
      <c r="F58" s="46">
        <v>3</v>
      </c>
      <c r="G58" s="46">
        <v>3</v>
      </c>
      <c r="H58" s="46">
        <v>4</v>
      </c>
      <c r="I58" s="46">
        <v>4</v>
      </c>
      <c r="J58" s="46">
        <v>4</v>
      </c>
      <c r="K58" s="46">
        <v>2</v>
      </c>
      <c r="L58" s="46">
        <v>2</v>
      </c>
      <c r="M58" s="46">
        <v>4</v>
      </c>
      <c r="N58" s="46">
        <v>3</v>
      </c>
      <c r="O58" s="46">
        <v>3</v>
      </c>
      <c r="P58" s="46">
        <v>3</v>
      </c>
      <c r="Q58" s="46">
        <v>4</v>
      </c>
      <c r="R58" s="46">
        <v>2</v>
      </c>
      <c r="S58" s="46">
        <v>1</v>
      </c>
      <c r="T58" s="46">
        <v>3</v>
      </c>
      <c r="U58" s="46">
        <v>3</v>
      </c>
      <c r="V58" s="46">
        <v>3</v>
      </c>
      <c r="W58" s="46">
        <v>4</v>
      </c>
    </row>
    <row r="59" spans="1:23" x14ac:dyDescent="0.25">
      <c r="A59" s="45"/>
      <c r="B59" t="s">
        <v>143</v>
      </c>
      <c r="C59" t="s">
        <v>142</v>
      </c>
      <c r="D59" s="46">
        <v>2</v>
      </c>
      <c r="E59" s="46">
        <v>2</v>
      </c>
      <c r="F59" s="46">
        <v>3</v>
      </c>
      <c r="G59" s="46">
        <v>3</v>
      </c>
      <c r="H59" s="46">
        <v>4</v>
      </c>
      <c r="I59" s="46">
        <v>4</v>
      </c>
      <c r="J59" s="46">
        <v>4</v>
      </c>
      <c r="K59" s="46">
        <v>3</v>
      </c>
      <c r="L59" s="46">
        <v>2</v>
      </c>
      <c r="M59" s="46">
        <v>1</v>
      </c>
      <c r="N59" s="46">
        <v>4</v>
      </c>
      <c r="O59" s="46">
        <v>3</v>
      </c>
      <c r="P59" s="46">
        <v>3</v>
      </c>
      <c r="Q59" s="46">
        <v>4</v>
      </c>
      <c r="R59" s="46">
        <v>4</v>
      </c>
      <c r="S59" s="46">
        <v>3</v>
      </c>
      <c r="T59" s="46">
        <v>3</v>
      </c>
      <c r="U59" s="46">
        <v>4</v>
      </c>
      <c r="V59" s="46">
        <v>3</v>
      </c>
      <c r="W59" s="46">
        <v>4</v>
      </c>
    </row>
    <row r="60" spans="1:23" x14ac:dyDescent="0.25">
      <c r="A60" s="45"/>
      <c r="B60" t="s">
        <v>144</v>
      </c>
      <c r="C60" t="s">
        <v>142</v>
      </c>
      <c r="D60" s="46">
        <v>4</v>
      </c>
      <c r="E60" s="46">
        <v>4</v>
      </c>
      <c r="F60" s="46">
        <v>3</v>
      </c>
      <c r="G60" s="46">
        <v>3</v>
      </c>
      <c r="H60" s="46">
        <v>4</v>
      </c>
      <c r="I60" s="46">
        <v>3</v>
      </c>
      <c r="J60" s="46">
        <v>3</v>
      </c>
      <c r="K60" s="46">
        <v>3</v>
      </c>
      <c r="L60" s="46">
        <v>4</v>
      </c>
      <c r="M60" s="46">
        <v>4</v>
      </c>
      <c r="N60" s="46">
        <v>4</v>
      </c>
      <c r="O60" s="46">
        <v>3</v>
      </c>
      <c r="P60" s="46">
        <v>3</v>
      </c>
      <c r="Q60" s="46">
        <v>2</v>
      </c>
      <c r="R60" s="46">
        <v>4</v>
      </c>
      <c r="S60" s="46">
        <v>4</v>
      </c>
      <c r="T60" s="46">
        <v>4</v>
      </c>
      <c r="U60" s="46">
        <v>4</v>
      </c>
      <c r="V60" s="46">
        <v>3</v>
      </c>
      <c r="W60" s="46">
        <v>3</v>
      </c>
    </row>
    <row r="61" spans="1:23" x14ac:dyDescent="0.25">
      <c r="A61" s="45"/>
      <c r="B61" t="s">
        <v>145</v>
      </c>
      <c r="C61" t="s">
        <v>142</v>
      </c>
      <c r="D61" s="46">
        <v>1</v>
      </c>
      <c r="E61" s="46">
        <v>1</v>
      </c>
      <c r="F61" s="46">
        <v>1</v>
      </c>
      <c r="G61" s="46">
        <v>0</v>
      </c>
      <c r="H61" s="46">
        <v>0</v>
      </c>
      <c r="I61" s="46">
        <v>1</v>
      </c>
      <c r="J61" s="46">
        <v>0</v>
      </c>
      <c r="K61" s="46">
        <v>1</v>
      </c>
      <c r="L61" s="46">
        <v>0</v>
      </c>
      <c r="M61" s="46">
        <v>0</v>
      </c>
      <c r="N61" s="46">
        <v>1</v>
      </c>
      <c r="O61" s="46">
        <v>1</v>
      </c>
      <c r="P61" s="46">
        <v>1</v>
      </c>
      <c r="Q61" s="46">
        <v>0</v>
      </c>
      <c r="R61" s="46">
        <v>0</v>
      </c>
      <c r="S61" s="46">
        <v>0</v>
      </c>
      <c r="T61" s="46">
        <v>1</v>
      </c>
      <c r="U61" s="46">
        <v>1</v>
      </c>
      <c r="V61" s="46">
        <v>0</v>
      </c>
      <c r="W61" s="46">
        <v>1</v>
      </c>
    </row>
    <row r="62" spans="1:23" x14ac:dyDescent="0.25">
      <c r="A62" s="45"/>
      <c r="B62" t="s">
        <v>146</v>
      </c>
      <c r="C62" t="s">
        <v>147</v>
      </c>
      <c r="D62" s="46">
        <v>3</v>
      </c>
      <c r="E62" s="46">
        <v>3</v>
      </c>
      <c r="F62" s="46">
        <v>3</v>
      </c>
      <c r="G62" s="46">
        <v>4</v>
      </c>
      <c r="H62" s="46">
        <v>4</v>
      </c>
      <c r="I62" s="46">
        <v>3</v>
      </c>
      <c r="J62" s="46">
        <v>2</v>
      </c>
      <c r="K62" s="46">
        <v>2</v>
      </c>
      <c r="L62" s="46">
        <v>4</v>
      </c>
      <c r="M62" s="46">
        <v>4</v>
      </c>
      <c r="N62" s="46">
        <v>3</v>
      </c>
      <c r="O62" s="46">
        <v>3</v>
      </c>
      <c r="P62" s="46">
        <v>4</v>
      </c>
      <c r="Q62" s="46">
        <v>3</v>
      </c>
      <c r="R62" s="46">
        <v>4</v>
      </c>
      <c r="S62" s="46">
        <v>3</v>
      </c>
      <c r="T62" s="46">
        <v>4</v>
      </c>
      <c r="U62" s="46">
        <v>4</v>
      </c>
      <c r="V62" s="46">
        <v>4</v>
      </c>
      <c r="W62" s="46">
        <v>3</v>
      </c>
    </row>
    <row r="65" spans="2:8" x14ac:dyDescent="0.25">
      <c r="D65" t="s">
        <v>121</v>
      </c>
      <c r="E65" t="s">
        <v>122</v>
      </c>
      <c r="F65" t="s">
        <v>123</v>
      </c>
      <c r="G65" t="s">
        <v>124</v>
      </c>
      <c r="H65" t="s">
        <v>125</v>
      </c>
    </row>
    <row r="66" spans="2:8" x14ac:dyDescent="0.25">
      <c r="B66" t="s">
        <v>129</v>
      </c>
      <c r="D66" s="46"/>
      <c r="E66" s="46"/>
      <c r="F66" s="46"/>
      <c r="G66" s="46"/>
      <c r="H66" s="46"/>
    </row>
    <row r="67" spans="2:8" x14ac:dyDescent="0.25">
      <c r="B67" t="s">
        <v>131</v>
      </c>
      <c r="D67" s="46"/>
      <c r="E67" s="46"/>
      <c r="F67" s="46"/>
      <c r="G67" s="46"/>
      <c r="H67" s="46"/>
    </row>
    <row r="68" spans="2:8" x14ac:dyDescent="0.25">
      <c r="B68" t="s">
        <v>33</v>
      </c>
      <c r="D68" s="46"/>
      <c r="E68" s="46"/>
      <c r="F68" s="46"/>
      <c r="G68" s="46"/>
      <c r="H68" s="46"/>
    </row>
    <row r="69" spans="2:8" x14ac:dyDescent="0.25">
      <c r="B69" t="s">
        <v>132</v>
      </c>
      <c r="D69" s="46"/>
      <c r="E69" s="46"/>
      <c r="F69" s="46"/>
      <c r="G69" s="46"/>
      <c r="H69" s="46"/>
    </row>
    <row r="70" spans="2:8" x14ac:dyDescent="0.25">
      <c r="B70" t="s">
        <v>133</v>
      </c>
      <c r="D70" s="46"/>
      <c r="E70" s="46"/>
      <c r="F70" s="46"/>
      <c r="G70" s="46"/>
      <c r="H70" s="46"/>
    </row>
    <row r="71" spans="2:8" x14ac:dyDescent="0.25">
      <c r="B71" t="s">
        <v>134</v>
      </c>
      <c r="D71" s="46">
        <v>3</v>
      </c>
      <c r="E71" s="46">
        <v>3</v>
      </c>
      <c r="F71" s="46">
        <v>1</v>
      </c>
      <c r="G71" s="46">
        <v>2</v>
      </c>
      <c r="H71" s="46"/>
    </row>
    <row r="72" spans="2:8" x14ac:dyDescent="0.25">
      <c r="B72" t="s">
        <v>136</v>
      </c>
      <c r="D72" s="46"/>
      <c r="E72" s="46"/>
      <c r="F72" s="46"/>
      <c r="G72" s="46"/>
      <c r="H72" s="46"/>
    </row>
    <row r="73" spans="2:8" x14ac:dyDescent="0.25">
      <c r="B73" t="s">
        <v>138</v>
      </c>
      <c r="D73" s="46">
        <v>3</v>
      </c>
      <c r="E73" s="46">
        <v>2</v>
      </c>
      <c r="F73" s="46">
        <v>2</v>
      </c>
      <c r="G73" s="46">
        <v>1</v>
      </c>
      <c r="H73" s="46"/>
    </row>
    <row r="74" spans="2:8" x14ac:dyDescent="0.25">
      <c r="B74" t="s">
        <v>139</v>
      </c>
      <c r="D74" s="46"/>
      <c r="E74" s="46"/>
      <c r="F74" s="46"/>
      <c r="G74" s="46"/>
      <c r="H74" s="46"/>
    </row>
    <row r="75" spans="2:8" x14ac:dyDescent="0.25">
      <c r="B75" t="s">
        <v>140</v>
      </c>
      <c r="D75" s="46"/>
      <c r="E75" s="46"/>
      <c r="F75" s="46"/>
      <c r="G75" s="46"/>
      <c r="H75" s="46"/>
    </row>
    <row r="76" spans="2:8" x14ac:dyDescent="0.25">
      <c r="B76" t="s">
        <v>141</v>
      </c>
      <c r="D76" s="46">
        <v>3</v>
      </c>
      <c r="E76" s="46">
        <v>3</v>
      </c>
      <c r="F76" s="46">
        <v>3</v>
      </c>
      <c r="G76" s="46">
        <v>2</v>
      </c>
      <c r="H76" s="46"/>
    </row>
    <row r="77" spans="2:8" x14ac:dyDescent="0.25">
      <c r="B77" t="s">
        <v>143</v>
      </c>
      <c r="D77" s="46">
        <v>2</v>
      </c>
      <c r="E77" s="46">
        <v>2</v>
      </c>
      <c r="F77" s="46">
        <v>2</v>
      </c>
      <c r="G77" s="46">
        <v>1</v>
      </c>
      <c r="H77" s="46"/>
    </row>
    <row r="78" spans="2:8" x14ac:dyDescent="0.25">
      <c r="B78" t="s">
        <v>144</v>
      </c>
      <c r="D78" s="46">
        <v>3</v>
      </c>
      <c r="E78" s="46">
        <v>2</v>
      </c>
      <c r="F78" s="46">
        <v>3</v>
      </c>
      <c r="G78" s="46">
        <v>2</v>
      </c>
      <c r="H78" s="46"/>
    </row>
    <row r="79" spans="2:8" x14ac:dyDescent="0.25">
      <c r="B79" t="s">
        <v>145</v>
      </c>
      <c r="D79" s="46">
        <v>0</v>
      </c>
      <c r="E79" s="46">
        <v>0</v>
      </c>
      <c r="F79" s="46">
        <v>0</v>
      </c>
      <c r="G79" s="46">
        <v>0</v>
      </c>
      <c r="H79" s="46"/>
    </row>
    <row r="80" spans="2:8" x14ac:dyDescent="0.25">
      <c r="B80" t="s">
        <v>146</v>
      </c>
      <c r="D80" s="46">
        <v>3</v>
      </c>
      <c r="E80" s="46">
        <v>2</v>
      </c>
      <c r="F80" s="46">
        <v>2</v>
      </c>
      <c r="G80" s="46">
        <v>2</v>
      </c>
      <c r="H80" s="46"/>
    </row>
  </sheetData>
  <phoneticPr fontId="5" type="noConversion"/>
  <pageMargins left="1.25" right="1.25" top="1" bottom="0.79166666666666696" header="0.25" footer="0.25"/>
  <pageSetup orientation="portrait" horizontalDpi="1200" verticalDpi="1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F62"/>
  <sheetViews>
    <sheetView tabSelected="1" workbookViewId="0">
      <pane xSplit="3" ySplit="2" topLeftCell="D35" activePane="bottomRight" state="frozen"/>
      <selection pane="topRight" activeCell="C1" sqref="C1"/>
      <selection pane="bottomLeft" activeCell="A2" sqref="A2"/>
      <selection pane="bottomRight" activeCell="T53" sqref="T53"/>
    </sheetView>
    <sheetView zoomScale="114" workbookViewId="1">
      <pane xSplit="3" ySplit="2" topLeftCell="D3" activePane="bottomRight" state="frozen"/>
      <selection pane="topRight" activeCell="D1" sqref="D1"/>
      <selection pane="bottomLeft" activeCell="A3" sqref="A3"/>
      <selection pane="bottomRight" activeCell="L3" sqref="L3"/>
    </sheetView>
  </sheetViews>
  <sheetFormatPr defaultRowHeight="15" x14ac:dyDescent="0.25"/>
  <cols>
    <col min="1" max="1" width="15.140625" bestFit="1" customWidth="1"/>
    <col min="2" max="2" width="18.85546875" customWidth="1"/>
    <col min="3" max="3" width="23.5703125" bestFit="1" customWidth="1"/>
    <col min="4" max="4" width="12.5703125" customWidth="1"/>
    <col min="5" max="5" width="7.5703125" customWidth="1"/>
    <col min="6" max="6" width="10" customWidth="1"/>
    <col min="7" max="7" width="7.7109375" customWidth="1"/>
    <col min="8" max="9" width="12.42578125" customWidth="1"/>
    <col min="10" max="10" width="10.42578125" customWidth="1"/>
    <col min="11" max="12" width="10.7109375" bestFit="1" customWidth="1"/>
    <col min="13" max="13" width="10.42578125" customWidth="1"/>
    <col min="14" max="14" width="7.5703125" customWidth="1"/>
    <col min="15" max="15" width="10.28515625" customWidth="1"/>
    <col min="16" max="16" width="7.140625" customWidth="1"/>
    <col min="20" max="21" width="10.85546875" bestFit="1" customWidth="1"/>
    <col min="22" max="25" width="10.85546875" customWidth="1"/>
    <col min="26" max="36" width="10.42578125" customWidth="1"/>
    <col min="47" max="47" width="10.85546875" bestFit="1" customWidth="1"/>
    <col min="88" max="91" width="18.28515625" customWidth="1"/>
    <col min="92" max="93" width="15.7109375" customWidth="1"/>
    <col min="94" max="94" width="13.42578125" customWidth="1"/>
    <col min="103" max="104" width="11.7109375" customWidth="1"/>
    <col min="106" max="107" width="11.5703125" customWidth="1"/>
    <col min="109" max="110" width="11.5703125" customWidth="1"/>
  </cols>
  <sheetData>
    <row r="1" spans="1:110" x14ac:dyDescent="0.25">
      <c r="H1" s="18" t="s">
        <v>0</v>
      </c>
      <c r="I1" s="18"/>
      <c r="K1" s="18"/>
      <c r="L1" s="18"/>
      <c r="N1" s="17" t="s">
        <v>1</v>
      </c>
      <c r="O1" s="17"/>
      <c r="P1" s="17"/>
      <c r="Q1" s="17"/>
      <c r="R1" s="17"/>
      <c r="S1" s="17"/>
      <c r="W1" s="18" t="s">
        <v>177</v>
      </c>
      <c r="Z1" s="18" t="s">
        <v>2</v>
      </c>
      <c r="AA1" s="18"/>
      <c r="AC1" s="18" t="s">
        <v>171</v>
      </c>
      <c r="AD1" s="18"/>
      <c r="AF1" s="18" t="s">
        <v>172</v>
      </c>
      <c r="AG1" s="18"/>
      <c r="AI1" s="18" t="s">
        <v>5</v>
      </c>
      <c r="AJ1" s="18"/>
      <c r="AL1" s="17" t="s">
        <v>1</v>
      </c>
      <c r="AM1" s="17"/>
      <c r="AN1" s="17"/>
      <c r="AO1" s="17"/>
      <c r="AP1" s="17"/>
      <c r="AQ1" s="17"/>
      <c r="AR1" s="17"/>
      <c r="AS1" s="17"/>
      <c r="AU1" s="18" t="s">
        <v>6</v>
      </c>
      <c r="AV1" s="18"/>
      <c r="AW1" s="18"/>
      <c r="AX1" s="18"/>
      <c r="BU1" s="9" t="s">
        <v>7</v>
      </c>
      <c r="CB1" s="9" t="s">
        <v>8</v>
      </c>
      <c r="CY1" s="9" t="s">
        <v>9</v>
      </c>
    </row>
    <row r="2" spans="1:110" s="9" customFormat="1" ht="30" x14ac:dyDescent="0.25">
      <c r="A2" s="9" t="s">
        <v>10</v>
      </c>
      <c r="B2" s="8" t="s">
        <v>11</v>
      </c>
      <c r="C2" s="8" t="s">
        <v>12</v>
      </c>
      <c r="D2" s="8" t="s">
        <v>13</v>
      </c>
      <c r="E2" s="8" t="s">
        <v>173</v>
      </c>
      <c r="F2" s="8" t="s">
        <v>15</v>
      </c>
      <c r="G2" s="8"/>
      <c r="H2" s="8" t="s">
        <v>16</v>
      </c>
      <c r="I2" s="8" t="s">
        <v>17</v>
      </c>
      <c r="J2" s="19"/>
      <c r="K2" s="8" t="s">
        <v>148</v>
      </c>
      <c r="L2" s="8" t="s">
        <v>149</v>
      </c>
      <c r="M2" s="19"/>
      <c r="N2" s="8" t="s">
        <v>20</v>
      </c>
      <c r="O2" s="8" t="s">
        <v>21</v>
      </c>
      <c r="P2" s="8" t="s">
        <v>22</v>
      </c>
      <c r="Q2" s="8" t="s">
        <v>23</v>
      </c>
      <c r="R2" s="8" t="s">
        <v>24</v>
      </c>
      <c r="S2" s="8" t="s">
        <v>25</v>
      </c>
      <c r="T2" s="8" t="s">
        <v>174</v>
      </c>
      <c r="U2" s="8" t="s">
        <v>175</v>
      </c>
      <c r="V2" s="8"/>
      <c r="W2" s="8" t="s">
        <v>161</v>
      </c>
      <c r="X2" s="8" t="s">
        <v>178</v>
      </c>
      <c r="Y2" s="8"/>
      <c r="Z2" s="8" t="s">
        <v>28</v>
      </c>
      <c r="AA2" s="8" t="s">
        <v>29</v>
      </c>
      <c r="AB2" s="19"/>
      <c r="AC2" s="8" t="s">
        <v>30</v>
      </c>
      <c r="AD2" s="8" t="s">
        <v>31</v>
      </c>
      <c r="AE2" s="19"/>
      <c r="AF2" s="8" t="s">
        <v>28</v>
      </c>
      <c r="AG2" s="8" t="s">
        <v>29</v>
      </c>
      <c r="AH2" s="19"/>
      <c r="AI2" s="8" t="s">
        <v>28</v>
      </c>
      <c r="AJ2" s="8" t="s">
        <v>29</v>
      </c>
      <c r="AL2" s="8" t="s">
        <v>20</v>
      </c>
      <c r="AM2" s="8" t="s">
        <v>21</v>
      </c>
      <c r="AN2" s="8" t="s">
        <v>22</v>
      </c>
      <c r="AO2" s="8" t="s">
        <v>23</v>
      </c>
      <c r="AP2" s="8" t="s">
        <v>24</v>
      </c>
      <c r="AQ2" s="8" t="s">
        <v>25</v>
      </c>
      <c r="AR2" s="8" t="s">
        <v>26</v>
      </c>
      <c r="AS2" s="8" t="s">
        <v>27</v>
      </c>
      <c r="AU2" s="8" t="s">
        <v>18</v>
      </c>
      <c r="AV2" s="8" t="s">
        <v>32</v>
      </c>
      <c r="AW2" s="19"/>
      <c r="AX2" s="32" t="s">
        <v>33</v>
      </c>
      <c r="AZ2" s="13"/>
      <c r="BA2" s="14" t="s">
        <v>20</v>
      </c>
      <c r="BB2" s="14" t="s">
        <v>21</v>
      </c>
      <c r="BC2" s="14" t="s">
        <v>22</v>
      </c>
      <c r="BD2" s="13"/>
      <c r="BE2" s="13"/>
      <c r="BF2" s="14" t="s">
        <v>20</v>
      </c>
      <c r="BG2" s="14" t="s">
        <v>21</v>
      </c>
      <c r="BH2" s="14" t="s">
        <v>22</v>
      </c>
      <c r="BI2" s="14" t="s">
        <v>23</v>
      </c>
      <c r="BJ2" s="14" t="s">
        <v>24</v>
      </c>
      <c r="BK2" s="14" t="s">
        <v>25</v>
      </c>
      <c r="BM2" s="9" t="s">
        <v>34</v>
      </c>
      <c r="BN2" s="9" t="s">
        <v>35</v>
      </c>
      <c r="BO2" s="9" t="s">
        <v>36</v>
      </c>
      <c r="BP2" s="9" t="s">
        <v>37</v>
      </c>
      <c r="BQ2" s="9" t="s">
        <v>38</v>
      </c>
      <c r="BR2" s="9" t="s">
        <v>176</v>
      </c>
      <c r="BS2" s="9" t="s">
        <v>40</v>
      </c>
      <c r="BU2" s="9" t="s">
        <v>41</v>
      </c>
      <c r="BV2" s="9" t="s">
        <v>42</v>
      </c>
      <c r="BW2" s="9" t="s">
        <v>43</v>
      </c>
      <c r="BX2" s="9" t="s">
        <v>44</v>
      </c>
      <c r="BY2" s="28" t="s">
        <v>45</v>
      </c>
      <c r="BZ2" s="28" t="s">
        <v>46</v>
      </c>
      <c r="CA2" s="28"/>
      <c r="CB2" s="9" t="s">
        <v>47</v>
      </c>
      <c r="CC2" s="9" t="s">
        <v>42</v>
      </c>
      <c r="CD2" s="9" t="s">
        <v>43</v>
      </c>
      <c r="CE2" s="9" t="s">
        <v>44</v>
      </c>
      <c r="CF2" s="28" t="s">
        <v>45</v>
      </c>
      <c r="CG2" s="28" t="s">
        <v>46</v>
      </c>
      <c r="CH2" s="28"/>
      <c r="CI2" s="28"/>
      <c r="CJ2" s="49" t="s">
        <v>48</v>
      </c>
      <c r="CK2" s="49" t="s">
        <v>49</v>
      </c>
      <c r="CL2" s="49" t="s">
        <v>50</v>
      </c>
      <c r="CM2" s="49" t="s">
        <v>51</v>
      </c>
      <c r="CN2" s="49" t="s">
        <v>52</v>
      </c>
      <c r="CO2" s="49" t="s">
        <v>53</v>
      </c>
      <c r="CP2" s="49" t="s">
        <v>54</v>
      </c>
      <c r="CQ2" s="14" t="s">
        <v>20</v>
      </c>
      <c r="CR2" s="14" t="s">
        <v>21</v>
      </c>
      <c r="CS2" s="14" t="s">
        <v>22</v>
      </c>
      <c r="CT2" s="14" t="s">
        <v>23</v>
      </c>
      <c r="CU2" s="14" t="s">
        <v>24</v>
      </c>
      <c r="CV2" s="14" t="s">
        <v>25</v>
      </c>
      <c r="CY2" s="49" t="s">
        <v>55</v>
      </c>
      <c r="CZ2" s="49" t="s">
        <v>56</v>
      </c>
      <c r="DB2" s="8" t="s">
        <v>57</v>
      </c>
      <c r="DC2" s="8" t="s">
        <v>58</v>
      </c>
      <c r="DE2" s="8" t="s">
        <v>59</v>
      </c>
      <c r="DF2" s="8" t="s">
        <v>60</v>
      </c>
    </row>
    <row r="3" spans="1:110" x14ac:dyDescent="0.25">
      <c r="A3">
        <v>1</v>
      </c>
      <c r="B3" s="1" t="s">
        <v>61</v>
      </c>
      <c r="C3" s="1" t="s">
        <v>62</v>
      </c>
      <c r="D3" s="3">
        <v>4.5999999999999999E-2</v>
      </c>
      <c r="E3" s="3">
        <v>0.159</v>
      </c>
      <c r="F3" s="2">
        <f>+D3*(1-E3)</f>
        <v>3.8685999999999998E-2</v>
      </c>
      <c r="G3" s="4"/>
      <c r="H3" s="2">
        <f>DB3</f>
        <v>2.5000000000000001E-2</v>
      </c>
      <c r="I3" s="2">
        <f>DC3</f>
        <v>0.04</v>
      </c>
      <c r="J3" s="6"/>
      <c r="K3" s="2">
        <f>+H3/(1-$E3)</f>
        <v>2.9726516052318672E-2</v>
      </c>
      <c r="L3" s="2">
        <f>+I3/(1-$E3)</f>
        <v>4.7562425683709872E-2</v>
      </c>
      <c r="M3" s="6"/>
      <c r="N3" s="2">
        <f t="shared" ref="N3:N21" si="0">+AL3+(D$29-D$34)</f>
        <v>-1.2000000000000004E-2</v>
      </c>
      <c r="O3" s="2">
        <f t="shared" ref="O3:O21" si="1">+AM3+(E$29-E$34)</f>
        <v>0.01</v>
      </c>
      <c r="P3" s="2">
        <f t="shared" ref="P3:P21" si="2">+AN3+(F$29-F$34)</f>
        <v>2.4E-2</v>
      </c>
      <c r="Q3" s="2">
        <f t="shared" ref="Q3:Q21" si="3">+AO3+(G$29-G$34)</f>
        <v>0.04</v>
      </c>
      <c r="R3" s="2">
        <f t="shared" ref="R3:R21" si="4">+AP3+(H$29-H$34)</f>
        <v>0.05</v>
      </c>
      <c r="S3" s="2">
        <f t="shared" ref="S3:S21" si="5">+AQ3+(I$29-I$34)</f>
        <v>2.5000000000000001E-2</v>
      </c>
      <c r="T3" s="2" cm="1">
        <f t="array" ref="T3">+PRODUCT(1+N3:P3)^(0.333333333333333)-1</f>
        <v>7.2240606141020791E-3</v>
      </c>
      <c r="U3" s="12" cm="1">
        <f t="array" ref="U3">+PRODUCT(1+N3:S3)^(1/6)-1</f>
        <v>2.2635338968090002E-2</v>
      </c>
      <c r="V3" s="12"/>
      <c r="W3" s="12"/>
      <c r="X3" s="12"/>
      <c r="Y3" s="12"/>
      <c r="Z3" s="6">
        <f t="shared" ref="Z3:Z21" si="6">+IRR(AZ3:BC3)</f>
        <v>0.25590455986373772</v>
      </c>
      <c r="AA3" s="6">
        <f>+IRR(BE3:BK3)</f>
        <v>7.9066583193964313E-2</v>
      </c>
      <c r="AB3" s="6"/>
      <c r="AC3" s="6">
        <f t="shared" ref="AC3:AC21" si="7">+(Z3-BM3*BN3)/(1-BM3)</f>
        <v>0.31516825956329575</v>
      </c>
      <c r="AD3" s="6">
        <f t="shared" ref="AD3:AD21" si="8">+(AA3-BM3*BN3)/(1-BM3)</f>
        <v>8.5508549602551054E-2</v>
      </c>
      <c r="AE3" s="6"/>
      <c r="AF3" s="6">
        <f t="shared" ref="AF3:AF21" si="9">Z3+$BR3</f>
        <v>0.26090455986373773</v>
      </c>
      <c r="AG3" s="6">
        <f>AD3+$BR3</f>
        <v>9.0508549602551058E-2</v>
      </c>
      <c r="AH3" s="6"/>
      <c r="AI3" s="6">
        <f t="shared" ref="AI3:AI21" si="10">AF3-$BS3</f>
        <v>0.25090455986373772</v>
      </c>
      <c r="AJ3" s="6">
        <f t="shared" ref="AJ3:AJ21" si="11">AG3-$BS3</f>
        <v>8.0508549602551063E-2</v>
      </c>
      <c r="AL3" s="3">
        <v>-1.2000000000000004E-2</v>
      </c>
      <c r="AM3" s="3">
        <v>0.01</v>
      </c>
      <c r="AN3" s="3">
        <v>2.4E-2</v>
      </c>
      <c r="AO3" s="3">
        <v>0.04</v>
      </c>
      <c r="AP3" s="3">
        <v>0.05</v>
      </c>
      <c r="AQ3" s="3">
        <v>2.5000000000000001E-2</v>
      </c>
      <c r="AR3" s="2" cm="1">
        <f t="array" ref="AR3">+PRODUCT(1+AL3:AN3)^(0.333333333333333)-1</f>
        <v>7.2240606141020791E-3</v>
      </c>
      <c r="AS3" s="12" cm="1">
        <f t="array" ref="AS3">+PRODUCT(1+AL3:AQ3)^(1/6)-1</f>
        <v>2.2635338968090002E-2</v>
      </c>
      <c r="AU3" s="3">
        <v>-3.3140000000000044E-3</v>
      </c>
      <c r="AV3" s="3">
        <v>-5.0000000000000001E-3</v>
      </c>
      <c r="AW3" s="40"/>
      <c r="AX3" s="42">
        <v>0.01</v>
      </c>
      <c r="AZ3" s="15">
        <f>-1</f>
        <v>-1</v>
      </c>
      <c r="BA3" s="15">
        <f t="shared" ref="BA3:BA21" si="12">+F3*(1+N3)</f>
        <v>3.8221767999999996E-2</v>
      </c>
      <c r="BB3" s="15">
        <f t="shared" ref="BB3:BB21" si="13">+BA3*(1+O3)</f>
        <v>3.8603985679999994E-2</v>
      </c>
      <c r="BC3" s="15">
        <f t="shared" ref="BC3:BC21" si="14">+BB3*(1+P3)+(BB3*(1+P3))*(1+E3)/H3</f>
        <v>1.8721635960881149</v>
      </c>
      <c r="BD3" s="15"/>
      <c r="BE3" s="15">
        <v>-1</v>
      </c>
      <c r="BF3" s="15">
        <f t="shared" ref="BF3:BF21" si="15">+F3*(1+N3)</f>
        <v>3.8221767999999996E-2</v>
      </c>
      <c r="BG3" s="15">
        <f t="shared" ref="BG3:BG21" si="16">+BF3*(1+O3)</f>
        <v>3.8603985679999994E-2</v>
      </c>
      <c r="BH3" s="15">
        <f t="shared" ref="BH3:BH21" si="17">+BG3*(1+P3)</f>
        <v>3.9530481336319992E-2</v>
      </c>
      <c r="BI3" s="15">
        <f t="shared" ref="BI3:BI21" si="18">+BH3*(1+Q3)</f>
        <v>4.1111700589772794E-2</v>
      </c>
      <c r="BJ3" s="15">
        <f t="shared" ref="BJ3:BJ21" si="19">+BI3*(1+R3)</f>
        <v>4.3167285619261433E-2</v>
      </c>
      <c r="BK3" s="15">
        <f t="shared" ref="BK3:BK21" si="20">+BJ3*(1+S3)+BJ3*(1+S3)*(1+E3)/I3</f>
        <v>1.3262878710982955</v>
      </c>
      <c r="BM3" s="25">
        <v>0.23</v>
      </c>
      <c r="BN3" s="50">
        <f>IF($D$25="Base",BO3,IF($D$25="High",BP3,IF($D$25="Low",BQ3,"ERR")))</f>
        <v>5.7500000000000002E-2</v>
      </c>
      <c r="BO3" s="26">
        <v>5.7500000000000002E-2</v>
      </c>
      <c r="BP3" s="26">
        <v>6.0000000000000005E-2</v>
      </c>
      <c r="BQ3" s="26">
        <v>5.5E-2</v>
      </c>
      <c r="BR3" s="26">
        <v>5.0000000000000001E-3</v>
      </c>
      <c r="BS3" s="26">
        <v>0.01</v>
      </c>
      <c r="BU3">
        <f t="shared" ref="BU3:BU21" si="21">RANK(AI3,AI$3:AI$21)</f>
        <v>4</v>
      </c>
      <c r="BV3">
        <f>+$A3</f>
        <v>1</v>
      </c>
      <c r="BW3" s="27">
        <v>0</v>
      </c>
      <c r="BX3" s="27">
        <v>0.3</v>
      </c>
      <c r="BY3" s="7"/>
      <c r="CB3">
        <f t="shared" ref="CB3:CB21" si="22">RANK(AJ3,AJ$3:AJ$21)</f>
        <v>11</v>
      </c>
      <c r="CC3">
        <f>+$A3</f>
        <v>1</v>
      </c>
      <c r="CD3" s="27">
        <v>0</v>
      </c>
      <c r="CE3" s="27">
        <v>0.3</v>
      </c>
      <c r="CJ3" s="50">
        <f>IF($D$25="Base",CK3,IF($D$25="High",CL3,IF($D$25="Low",CM3,"ERR")))</f>
        <v>2.5000000000000001E-2</v>
      </c>
      <c r="CK3" s="42">
        <v>2.5000000000000001E-2</v>
      </c>
      <c r="CL3" s="42">
        <v>2.75E-2</v>
      </c>
      <c r="CM3" s="42">
        <v>2.2500000000000003E-2</v>
      </c>
      <c r="CN3" s="51">
        <f>+$F$30+CJ3</f>
        <v>6.5000000000000002E-2</v>
      </c>
      <c r="CO3" s="51">
        <f>$I$30+CJ3</f>
        <v>6.5000000000000002E-2</v>
      </c>
      <c r="CP3" s="39">
        <f t="shared" ref="CP3:CP21" si="23">+NPV(CN3,CQ3:CV3)</f>
        <v>1.0750641975625514</v>
      </c>
      <c r="CQ3">
        <f t="shared" ref="CQ3:CQ21" si="24">+BF3</f>
        <v>3.8221767999999996E-2</v>
      </c>
      <c r="CR3">
        <f t="shared" ref="CR3:CR21" si="25">+BG3</f>
        <v>3.8603985679999994E-2</v>
      </c>
      <c r="CS3">
        <f t="shared" ref="CS3:CS21" si="26">+BH3</f>
        <v>3.9530481336319992E-2</v>
      </c>
      <c r="CT3">
        <f t="shared" ref="CT3:CT21" si="27">+BI3</f>
        <v>4.1111700589772794E-2</v>
      </c>
      <c r="CU3">
        <f t="shared" ref="CU3:CU21" si="28">+BJ3</f>
        <v>4.3167285619261433E-2</v>
      </c>
      <c r="CV3">
        <f t="shared" ref="CV3:CV21" si="29">+BK3</f>
        <v>1.3262878710982955</v>
      </c>
      <c r="CX3" s="6"/>
      <c r="CY3" s="35">
        <f>Q3</f>
        <v>0.04</v>
      </c>
      <c r="CZ3" s="35">
        <f>S3</f>
        <v>2.5000000000000001E-2</v>
      </c>
      <c r="DB3" s="6">
        <f t="shared" ref="DB3:DB21" si="30">CN3-CY3</f>
        <v>2.5000000000000001E-2</v>
      </c>
      <c r="DC3" s="6">
        <f>+CO3-CZ3</f>
        <v>0.04</v>
      </c>
      <c r="DE3" s="6">
        <f>+DB3/(1-$E3)</f>
        <v>2.9726516052318672E-2</v>
      </c>
      <c r="DF3" s="6">
        <f>+DC3/(1-$E3)</f>
        <v>4.7562425683709872E-2</v>
      </c>
    </row>
    <row r="4" spans="1:110" x14ac:dyDescent="0.25">
      <c r="A4">
        <f>+A3+1</f>
        <v>2</v>
      </c>
      <c r="B4" s="1" t="s">
        <v>61</v>
      </c>
      <c r="C4" s="1" t="s">
        <v>63</v>
      </c>
      <c r="D4" s="3">
        <v>3.6999999999999998E-2</v>
      </c>
      <c r="E4" s="3">
        <v>0.13800000000000001</v>
      </c>
      <c r="F4" s="2">
        <f t="shared" ref="F4:F21" si="31">+D4*(1-E4)</f>
        <v>3.1893999999999999E-2</v>
      </c>
      <c r="G4" s="4"/>
      <c r="H4" s="2">
        <f t="shared" ref="H4:H21" si="32">DB4</f>
        <v>3.0000000000000006E-2</v>
      </c>
      <c r="I4" s="2">
        <f t="shared" ref="I4:I21" si="33">DC4</f>
        <v>4.0000000000000008E-2</v>
      </c>
      <c r="J4" s="6"/>
      <c r="K4" s="2">
        <f>+H4/(1-$E4)</f>
        <v>3.4802784222737825E-2</v>
      </c>
      <c r="L4" s="2">
        <f>+I4/(1-$E4)</f>
        <v>4.6403712296983771E-2</v>
      </c>
      <c r="M4" s="6"/>
      <c r="N4" s="2">
        <f t="shared" si="0"/>
        <v>6.0999999999999999E-2</v>
      </c>
      <c r="O4" s="2">
        <f t="shared" si="1"/>
        <v>0.05</v>
      </c>
      <c r="P4" s="2">
        <f t="shared" si="2"/>
        <v>4.2999999999999997E-2</v>
      </c>
      <c r="Q4" s="2">
        <f t="shared" si="3"/>
        <v>0.04</v>
      </c>
      <c r="R4" s="2">
        <f t="shared" si="4"/>
        <v>3.5000000000000003E-2</v>
      </c>
      <c r="S4" s="2">
        <f t="shared" si="5"/>
        <v>0.03</v>
      </c>
      <c r="T4" s="2" cm="1">
        <f t="array" ref="T4">+PRODUCT(1+N4:P4)^(0.333333333333333)-1</f>
        <v>5.130726066065372E-2</v>
      </c>
      <c r="U4" s="12" cm="1">
        <f t="array" ref="U4">+PRODUCT(1+N4:S4)^(1/6)-1</f>
        <v>4.3117706726426341E-2</v>
      </c>
      <c r="V4" s="12"/>
      <c r="W4" s="12"/>
      <c r="X4" s="12"/>
      <c r="Y4" s="12"/>
      <c r="Z4" s="6">
        <f t="shared" si="6"/>
        <v>0.15196424472706616</v>
      </c>
      <c r="AA4" s="6">
        <f t="shared" ref="AA4:AA21" si="34">+IRR(BE4:BK4)</f>
        <v>6.1531554056584614E-2</v>
      </c>
      <c r="AB4" s="6"/>
      <c r="AC4" s="6">
        <f t="shared" si="7"/>
        <v>0.1624602719189624</v>
      </c>
      <c r="AD4" s="6">
        <f t="shared" si="8"/>
        <v>6.1979504507316235E-2</v>
      </c>
      <c r="AE4" s="6"/>
      <c r="AF4" s="6">
        <f t="shared" si="9"/>
        <v>0.15946424472706616</v>
      </c>
      <c r="AG4" s="6">
        <f t="shared" ref="AG4:AG21" si="35">AD4+$BR4</f>
        <v>6.9479504507316242E-2</v>
      </c>
      <c r="AH4" s="6"/>
      <c r="AI4" s="6">
        <f t="shared" si="10"/>
        <v>0.14946424472706615</v>
      </c>
      <c r="AJ4" s="6">
        <f t="shared" si="11"/>
        <v>5.947950450731624E-2</v>
      </c>
      <c r="AL4" s="3">
        <v>6.0999999999999999E-2</v>
      </c>
      <c r="AM4" s="3">
        <v>0.05</v>
      </c>
      <c r="AN4" s="3">
        <v>4.2999999999999997E-2</v>
      </c>
      <c r="AO4" s="3">
        <v>0.04</v>
      </c>
      <c r="AP4" s="3">
        <v>3.5000000000000003E-2</v>
      </c>
      <c r="AQ4" s="3">
        <v>0.03</v>
      </c>
      <c r="AR4" s="2" cm="1">
        <f t="array" ref="AR4">+PRODUCT(1+AL4:AN4)^(0.333333333333333)-1</f>
        <v>5.130726066065372E-2</v>
      </c>
      <c r="AS4" s="12" cm="1">
        <f t="array" ref="AS4">+PRODUCT(1+AL4:AQ4)^(1/6)-1</f>
        <v>4.3117706726426341E-2</v>
      </c>
      <c r="AU4" s="3">
        <v>-6.6060000000000008E-3</v>
      </c>
      <c r="AV4" s="3">
        <v>0</v>
      </c>
      <c r="AW4" s="40"/>
      <c r="AX4" s="42">
        <v>1.4999999999999999E-2</v>
      </c>
      <c r="AZ4" s="15">
        <f t="shared" ref="AZ4:AZ21" si="36">-1</f>
        <v>-1</v>
      </c>
      <c r="BA4" s="15">
        <f t="shared" si="12"/>
        <v>3.3839533999999998E-2</v>
      </c>
      <c r="BB4" s="15">
        <f t="shared" si="13"/>
        <v>3.5531510699999998E-2</v>
      </c>
      <c r="BC4" s="15">
        <f t="shared" si="14"/>
        <v>1.4428446363665595</v>
      </c>
      <c r="BD4" s="15"/>
      <c r="BE4" s="15">
        <v>-1</v>
      </c>
      <c r="BF4" s="15">
        <f t="shared" si="15"/>
        <v>3.3839533999999998E-2</v>
      </c>
      <c r="BG4" s="15">
        <f t="shared" si="16"/>
        <v>3.5531510699999998E-2</v>
      </c>
      <c r="BH4" s="15">
        <f t="shared" si="17"/>
        <v>3.7059365660099992E-2</v>
      </c>
      <c r="BI4" s="15">
        <f t="shared" si="18"/>
        <v>3.8541740286503992E-2</v>
      </c>
      <c r="BJ4" s="15">
        <f t="shared" si="19"/>
        <v>3.9890701196531632E-2</v>
      </c>
      <c r="BK4" s="15">
        <f t="shared" si="20"/>
        <v>1.210024584744992</v>
      </c>
      <c r="BM4" s="25">
        <v>0.1</v>
      </c>
      <c r="BN4" s="50">
        <f t="shared" ref="BN4:BN21" si="37">IF($D$25="Base",BO4,IF(D$25="High",BP4,IF(D$25="Low",BQ4,"ERR")))</f>
        <v>5.7500000000000002E-2</v>
      </c>
      <c r="BO4" s="26">
        <v>5.7500000000000002E-2</v>
      </c>
      <c r="BP4" s="26">
        <v>6.0000000000000005E-2</v>
      </c>
      <c r="BQ4" s="26">
        <v>5.5E-2</v>
      </c>
      <c r="BR4" s="26">
        <v>7.4999999999999997E-3</v>
      </c>
      <c r="BS4" s="26">
        <v>0.01</v>
      </c>
      <c r="BU4">
        <f t="shared" si="21"/>
        <v>8</v>
      </c>
      <c r="BV4">
        <f t="shared" ref="BV4:BV21" si="38">+$A4</f>
        <v>2</v>
      </c>
      <c r="BW4" s="27">
        <v>0</v>
      </c>
      <c r="BX4" s="27">
        <v>0.3</v>
      </c>
      <c r="BY4" s="7"/>
      <c r="CB4">
        <f t="shared" si="22"/>
        <v>14</v>
      </c>
      <c r="CC4">
        <f t="shared" ref="CC4:CC21" si="39">+$A4</f>
        <v>2</v>
      </c>
      <c r="CD4" s="27">
        <v>0</v>
      </c>
      <c r="CE4" s="27">
        <v>0.3</v>
      </c>
      <c r="CJ4" s="50">
        <f t="shared" ref="CJ4:CJ21" si="40">IF($D$25="Base",CK4,IF($D$25="High",CL4,IF($D$25="Low",CM4,"ERR")))</f>
        <v>3.0000000000000006E-2</v>
      </c>
      <c r="CK4" s="42">
        <v>3.0000000000000006E-2</v>
      </c>
      <c r="CL4" s="42">
        <v>3.2500000000000008E-2</v>
      </c>
      <c r="CM4" s="42">
        <v>2.7500000000000007E-2</v>
      </c>
      <c r="CN4" s="51">
        <f t="shared" ref="CN4:CN21" si="41">+$F$30+CJ4</f>
        <v>7.0000000000000007E-2</v>
      </c>
      <c r="CO4" s="51">
        <f t="shared" ref="CO4:CO21" si="42">$I$30+CJ4</f>
        <v>7.0000000000000007E-2</v>
      </c>
      <c r="CP4" s="39">
        <f t="shared" si="23"/>
        <v>0.95704711218019844</v>
      </c>
      <c r="CQ4">
        <f t="shared" si="24"/>
        <v>3.3839533999999998E-2</v>
      </c>
      <c r="CR4">
        <f t="shared" si="25"/>
        <v>3.5531510699999998E-2</v>
      </c>
      <c r="CS4">
        <f t="shared" si="26"/>
        <v>3.7059365660099992E-2</v>
      </c>
      <c r="CT4">
        <f t="shared" si="27"/>
        <v>3.8541740286503992E-2</v>
      </c>
      <c r="CU4">
        <f t="shared" si="28"/>
        <v>3.9890701196531632E-2</v>
      </c>
      <c r="CV4">
        <f t="shared" si="29"/>
        <v>1.210024584744992</v>
      </c>
      <c r="CY4" s="35">
        <f t="shared" ref="CY4:CY21" si="43">Q4</f>
        <v>0.04</v>
      </c>
      <c r="CZ4" s="35">
        <f t="shared" ref="CZ4:CZ21" si="44">S4</f>
        <v>0.03</v>
      </c>
      <c r="DB4" s="6">
        <f t="shared" si="30"/>
        <v>3.0000000000000006E-2</v>
      </c>
      <c r="DC4" s="6">
        <f t="shared" ref="DC4:DC21" si="45">+CO4-CZ4</f>
        <v>4.0000000000000008E-2</v>
      </c>
      <c r="DE4" s="6">
        <f t="shared" ref="DE4:DE21" si="46">+DB4/(1-$E4)</f>
        <v>3.4802784222737825E-2</v>
      </c>
      <c r="DF4" s="6">
        <f t="shared" ref="DF4:DF21" si="47">+DC4/(1-$E4)</f>
        <v>4.6403712296983771E-2</v>
      </c>
    </row>
    <row r="5" spans="1:110" x14ac:dyDescent="0.25">
      <c r="A5">
        <f t="shared" ref="A5:A21" si="48">+A4+1</f>
        <v>3</v>
      </c>
      <c r="B5" s="1" t="s">
        <v>61</v>
      </c>
      <c r="C5" s="1" t="s">
        <v>64</v>
      </c>
      <c r="D5" s="3">
        <v>5.6000000000000001E-2</v>
      </c>
      <c r="E5" s="3">
        <v>0.29399999999999998</v>
      </c>
      <c r="F5" s="2">
        <f t="shared" si="31"/>
        <v>3.9536000000000002E-2</v>
      </c>
      <c r="G5" s="4"/>
      <c r="H5" s="2">
        <f t="shared" si="32"/>
        <v>6.9999999999999993E-2</v>
      </c>
      <c r="I5" s="2">
        <f t="shared" si="33"/>
        <v>5.4999999999999993E-2</v>
      </c>
      <c r="J5" s="6"/>
      <c r="K5" s="2">
        <f t="shared" ref="K5:K21" si="49">+H5/(1-$E5)</f>
        <v>9.9150141643059492E-2</v>
      </c>
      <c r="L5" s="2">
        <f t="shared" ref="L5:L21" si="50">+I5/(1-$E5)</f>
        <v>7.7903682719546744E-2</v>
      </c>
      <c r="M5" s="6"/>
      <c r="N5" s="2">
        <f t="shared" si="0"/>
        <v>-1.7999999999999995E-2</v>
      </c>
      <c r="O5" s="2">
        <f t="shared" si="1"/>
        <v>-1.1000000000000003E-2</v>
      </c>
      <c r="P5" s="2">
        <f t="shared" si="2"/>
        <v>-8.0000000000000002E-3</v>
      </c>
      <c r="Q5" s="2">
        <f t="shared" si="3"/>
        <v>5.000000000000001E-3</v>
      </c>
      <c r="R5" s="2">
        <f t="shared" si="4"/>
        <v>0.01</v>
      </c>
      <c r="S5" s="2">
        <f t="shared" si="5"/>
        <v>0.02</v>
      </c>
      <c r="T5" s="2" cm="1">
        <f t="array" ref="T5">+PRODUCT(1+N5:P5)^(0.333333333333333)-1</f>
        <v>-1.2342231990260966E-2</v>
      </c>
      <c r="U5" s="12" cm="1">
        <f t="array" ref="U5">+PRODUCT(1+N5:S5)^(1/6)-1</f>
        <v>-4.1934372149576848E-4</v>
      </c>
      <c r="V5" s="12"/>
      <c r="W5" s="12"/>
      <c r="X5" s="12"/>
      <c r="Y5" s="12"/>
      <c r="Z5" s="6">
        <f t="shared" si="6"/>
        <v>-6.7132978262232856E-2</v>
      </c>
      <c r="AA5" s="6">
        <f t="shared" si="34"/>
        <v>2.7376584834430728E-2</v>
      </c>
      <c r="AB5" s="6"/>
      <c r="AC5" s="6">
        <f t="shared" si="7"/>
        <v>-0.10141622282779106</v>
      </c>
      <c r="AD5" s="6">
        <f t="shared" si="8"/>
        <v>1.6720731043038405E-2</v>
      </c>
      <c r="AE5" s="6"/>
      <c r="AF5" s="6">
        <f t="shared" si="9"/>
        <v>-6.7132978262232856E-2</v>
      </c>
      <c r="AG5" s="6">
        <f t="shared" si="35"/>
        <v>1.6720731043038405E-2</v>
      </c>
      <c r="AH5" s="6"/>
      <c r="AI5" s="6">
        <f t="shared" si="10"/>
        <v>-7.7132978262232851E-2</v>
      </c>
      <c r="AJ5" s="6">
        <f t="shared" si="11"/>
        <v>6.7207310430384051E-3</v>
      </c>
      <c r="AL5" s="3">
        <v>-1.7999999999999995E-2</v>
      </c>
      <c r="AM5" s="3">
        <v>-1.1000000000000003E-2</v>
      </c>
      <c r="AN5" s="3">
        <v>-8.0000000000000002E-3</v>
      </c>
      <c r="AO5" s="3">
        <v>5.000000000000001E-3</v>
      </c>
      <c r="AP5" s="3">
        <v>0.01</v>
      </c>
      <c r="AQ5" s="3">
        <v>0.02</v>
      </c>
      <c r="AR5" s="2" cm="1">
        <f t="array" ref="AR5">+PRODUCT(1+AL5:AN5)^(0.333333333333333)-1</f>
        <v>-1.2342231990260966E-2</v>
      </c>
      <c r="AS5" s="12" cm="1">
        <f t="array" ref="AS5">+PRODUCT(1+AL5:AQ5)^(1/6)-1</f>
        <v>-4.1934372149576848E-4</v>
      </c>
      <c r="AU5" s="3">
        <v>9.5360000000000028E-3</v>
      </c>
      <c r="AV5" s="3">
        <v>9.5360000000000028E-3</v>
      </c>
      <c r="AW5" s="40"/>
      <c r="AX5" s="42">
        <v>0.03</v>
      </c>
      <c r="AZ5" s="15">
        <f t="shared" si="36"/>
        <v>-1</v>
      </c>
      <c r="BA5" s="15">
        <f t="shared" si="12"/>
        <v>3.8824351999999999E-2</v>
      </c>
      <c r="BB5" s="15">
        <f t="shared" si="13"/>
        <v>3.8397284127999996E-2</v>
      </c>
      <c r="BC5" s="15">
        <f t="shared" si="14"/>
        <v>0.74221291980267523</v>
      </c>
      <c r="BD5" s="15"/>
      <c r="BE5" s="15">
        <v>-1</v>
      </c>
      <c r="BF5" s="15">
        <f t="shared" si="15"/>
        <v>3.8824351999999999E-2</v>
      </c>
      <c r="BG5" s="15">
        <f t="shared" si="16"/>
        <v>3.8397284127999996E-2</v>
      </c>
      <c r="BH5" s="15">
        <f t="shared" si="17"/>
        <v>3.8090105854975999E-2</v>
      </c>
      <c r="BI5" s="15">
        <f t="shared" si="18"/>
        <v>3.8280556384250874E-2</v>
      </c>
      <c r="BJ5" s="15">
        <f t="shared" si="19"/>
        <v>3.8663361948093382E-2</v>
      </c>
      <c r="BK5" s="15">
        <f t="shared" si="20"/>
        <v>0.96727295951522796</v>
      </c>
      <c r="BM5" s="25">
        <v>0.2</v>
      </c>
      <c r="BN5" s="50">
        <f t="shared" si="37"/>
        <v>7.0000000000000007E-2</v>
      </c>
      <c r="BO5" s="26">
        <v>7.0000000000000007E-2</v>
      </c>
      <c r="BP5" s="26">
        <v>7.2500000000000009E-2</v>
      </c>
      <c r="BQ5" s="26">
        <v>6.7500000000000004E-2</v>
      </c>
      <c r="BR5" s="26">
        <v>0</v>
      </c>
      <c r="BS5" s="26">
        <v>0.01</v>
      </c>
      <c r="BU5">
        <f t="shared" si="21"/>
        <v>18</v>
      </c>
      <c r="BV5">
        <f t="shared" si="38"/>
        <v>3</v>
      </c>
      <c r="BW5" s="27">
        <v>0</v>
      </c>
      <c r="BX5" s="27">
        <v>0.15</v>
      </c>
      <c r="BY5" s="7"/>
      <c r="CB5">
        <f t="shared" si="22"/>
        <v>17</v>
      </c>
      <c r="CC5">
        <f t="shared" si="39"/>
        <v>3</v>
      </c>
      <c r="CD5" s="27">
        <v>0</v>
      </c>
      <c r="CE5" s="27">
        <v>0.15</v>
      </c>
      <c r="CJ5" s="50">
        <f t="shared" si="40"/>
        <v>3.4999999999999996E-2</v>
      </c>
      <c r="CK5" s="42">
        <v>3.4999999999999996E-2</v>
      </c>
      <c r="CL5" s="42">
        <v>3.7499999999999999E-2</v>
      </c>
      <c r="CM5" s="42">
        <v>3.2499999999999994E-2</v>
      </c>
      <c r="CN5" s="51">
        <f t="shared" si="41"/>
        <v>7.4999999999999997E-2</v>
      </c>
      <c r="CO5" s="51">
        <f t="shared" si="42"/>
        <v>7.4999999999999997E-2</v>
      </c>
      <c r="CP5" s="39">
        <f t="shared" si="23"/>
        <v>0.78235458679663805</v>
      </c>
      <c r="CQ5">
        <f t="shared" si="24"/>
        <v>3.8824351999999999E-2</v>
      </c>
      <c r="CR5">
        <f t="shared" si="25"/>
        <v>3.8397284127999996E-2</v>
      </c>
      <c r="CS5">
        <f t="shared" si="26"/>
        <v>3.8090105854975999E-2</v>
      </c>
      <c r="CT5">
        <f t="shared" si="27"/>
        <v>3.8280556384250874E-2</v>
      </c>
      <c r="CU5">
        <f t="shared" si="28"/>
        <v>3.8663361948093382E-2</v>
      </c>
      <c r="CV5">
        <f t="shared" si="29"/>
        <v>0.96727295951522796</v>
      </c>
      <c r="CY5" s="35">
        <f t="shared" si="43"/>
        <v>5.000000000000001E-3</v>
      </c>
      <c r="CZ5" s="35">
        <f t="shared" si="44"/>
        <v>0.02</v>
      </c>
      <c r="DB5" s="6">
        <f t="shared" si="30"/>
        <v>6.9999999999999993E-2</v>
      </c>
      <c r="DC5" s="6">
        <f t="shared" si="45"/>
        <v>5.4999999999999993E-2</v>
      </c>
      <c r="DE5" s="6">
        <f t="shared" si="46"/>
        <v>9.9150141643059492E-2</v>
      </c>
      <c r="DF5" s="6">
        <f t="shared" si="47"/>
        <v>7.7903682719546744E-2</v>
      </c>
    </row>
    <row r="6" spans="1:110" x14ac:dyDescent="0.25">
      <c r="A6">
        <f t="shared" si="48"/>
        <v>4</v>
      </c>
      <c r="B6" s="1" t="s">
        <v>61</v>
      </c>
      <c r="C6" s="1" t="s">
        <v>65</v>
      </c>
      <c r="D6" s="3">
        <v>5.5E-2</v>
      </c>
      <c r="E6" s="3">
        <v>0.188</v>
      </c>
      <c r="F6" s="2">
        <f t="shared" si="31"/>
        <v>4.4660000000000005E-2</v>
      </c>
      <c r="G6" s="4"/>
      <c r="H6" s="2">
        <f t="shared" si="32"/>
        <v>0.05</v>
      </c>
      <c r="I6" s="2">
        <f t="shared" si="33"/>
        <v>4.5000000000000005E-2</v>
      </c>
      <c r="J6" s="6"/>
      <c r="K6" s="2">
        <f t="shared" si="49"/>
        <v>6.1576354679802957E-2</v>
      </c>
      <c r="L6" s="2">
        <f t="shared" si="50"/>
        <v>5.5418719211822662E-2</v>
      </c>
      <c r="M6" s="6"/>
      <c r="N6" s="2">
        <f t="shared" si="0"/>
        <v>0.01</v>
      </c>
      <c r="O6" s="2">
        <f t="shared" si="1"/>
        <v>0.02</v>
      </c>
      <c r="P6" s="2">
        <f t="shared" si="2"/>
        <v>0.02</v>
      </c>
      <c r="Q6" s="2">
        <f t="shared" si="3"/>
        <v>0.02</v>
      </c>
      <c r="R6" s="2">
        <f t="shared" si="4"/>
        <v>0.02</v>
      </c>
      <c r="S6" s="2">
        <f t="shared" si="5"/>
        <v>2.5000000000000001E-2</v>
      </c>
      <c r="T6" s="2" cm="1">
        <f t="array" ref="T6">+PRODUCT(1+N6:P6)^(0.333333333333333)-1</f>
        <v>1.6655713698476626E-2</v>
      </c>
      <c r="U6" s="12" cm="1">
        <f t="array" ref="U6">+PRODUCT(1+N6:S6)^(1/6)-1</f>
        <v>1.9156755856084562E-2</v>
      </c>
      <c r="V6" s="12"/>
      <c r="W6" s="12"/>
      <c r="X6" s="12"/>
      <c r="Y6" s="12"/>
      <c r="Z6" s="6">
        <f t="shared" si="6"/>
        <v>8.135398129383109E-2</v>
      </c>
      <c r="AA6" s="6">
        <f t="shared" si="34"/>
        <v>8.9923053859089164E-2</v>
      </c>
      <c r="AB6" s="6"/>
      <c r="AC6" s="6">
        <f t="shared" si="7"/>
        <v>8.5122330933918938E-2</v>
      </c>
      <c r="AD6" s="6">
        <f t="shared" si="8"/>
        <v>9.5203592775399026E-2</v>
      </c>
      <c r="AE6" s="6"/>
      <c r="AF6" s="6">
        <f t="shared" si="9"/>
        <v>8.3853981293831092E-2</v>
      </c>
      <c r="AG6" s="6">
        <f t="shared" si="35"/>
        <v>9.7703592775399029E-2</v>
      </c>
      <c r="AH6" s="6"/>
      <c r="AI6" s="6">
        <f t="shared" si="10"/>
        <v>7.3853981293831097E-2</v>
      </c>
      <c r="AJ6" s="6">
        <f t="shared" si="11"/>
        <v>8.7703592775399034E-2</v>
      </c>
      <c r="AL6" s="3">
        <v>0.01</v>
      </c>
      <c r="AM6" s="3">
        <v>0.02</v>
      </c>
      <c r="AN6" s="3">
        <v>0.02</v>
      </c>
      <c r="AO6" s="3">
        <v>0.02</v>
      </c>
      <c r="AP6" s="3">
        <v>0.02</v>
      </c>
      <c r="AQ6" s="3">
        <v>2.5000000000000001E-2</v>
      </c>
      <c r="AR6" s="2" cm="1">
        <f t="array" ref="AR6">+PRODUCT(1+AL6:AN6)^(0.333333333333333)-1</f>
        <v>1.6655713698476626E-2</v>
      </c>
      <c r="AS6" s="12" cm="1">
        <f t="array" ref="AS6">+PRODUCT(1+AL6:AQ6)^(1/6)-1</f>
        <v>1.9156755856084562E-2</v>
      </c>
      <c r="AU6" s="3">
        <v>4.6600000000000044E-3</v>
      </c>
      <c r="AV6" s="3">
        <v>4.6600000000000044E-3</v>
      </c>
      <c r="AW6" s="40"/>
      <c r="AX6" s="42">
        <v>0.02</v>
      </c>
      <c r="AZ6" s="15">
        <f t="shared" si="36"/>
        <v>-1</v>
      </c>
      <c r="BA6" s="15">
        <f t="shared" si="12"/>
        <v>4.5106600000000004E-2</v>
      </c>
      <c r="BB6" s="15">
        <f t="shared" si="13"/>
        <v>4.6008732000000004E-2</v>
      </c>
      <c r="BC6" s="15">
        <f t="shared" si="14"/>
        <v>1.1619597284064</v>
      </c>
      <c r="BD6" s="15"/>
      <c r="BE6" s="15">
        <v>-1</v>
      </c>
      <c r="BF6" s="15">
        <f t="shared" si="15"/>
        <v>4.5106600000000004E-2</v>
      </c>
      <c r="BG6" s="15">
        <f t="shared" si="16"/>
        <v>4.6008732000000004E-2</v>
      </c>
      <c r="BH6" s="15">
        <f t="shared" si="17"/>
        <v>4.6928906640000004E-2</v>
      </c>
      <c r="BI6" s="15">
        <f t="shared" si="18"/>
        <v>4.7867484772800006E-2</v>
      </c>
      <c r="BJ6" s="15">
        <f t="shared" si="19"/>
        <v>4.8824834468256008E-2</v>
      </c>
      <c r="BK6" s="15">
        <f t="shared" si="20"/>
        <v>1.3712454760409698</v>
      </c>
      <c r="BM6" s="25">
        <v>0.15</v>
      </c>
      <c r="BN6" s="50">
        <f t="shared" si="37"/>
        <v>0.06</v>
      </c>
      <c r="BO6" s="26">
        <v>0.06</v>
      </c>
      <c r="BP6" s="26">
        <v>6.25E-2</v>
      </c>
      <c r="BQ6" s="26">
        <v>5.7499999999999996E-2</v>
      </c>
      <c r="BR6" s="26">
        <v>2.5000000000000001E-3</v>
      </c>
      <c r="BS6" s="26">
        <v>0.01</v>
      </c>
      <c r="BU6">
        <f t="shared" si="21"/>
        <v>15</v>
      </c>
      <c r="BV6">
        <f t="shared" si="38"/>
        <v>4</v>
      </c>
      <c r="BW6" s="27">
        <v>0</v>
      </c>
      <c r="BX6" s="27">
        <v>0.15</v>
      </c>
      <c r="BY6" s="7"/>
      <c r="CB6">
        <f t="shared" si="22"/>
        <v>9</v>
      </c>
      <c r="CC6">
        <f t="shared" si="39"/>
        <v>4</v>
      </c>
      <c r="CD6" s="27">
        <v>0</v>
      </c>
      <c r="CE6" s="27">
        <v>0.15</v>
      </c>
      <c r="CJ6" s="50">
        <f t="shared" si="40"/>
        <v>3.0000000000000006E-2</v>
      </c>
      <c r="CK6" s="42">
        <v>3.0000000000000006E-2</v>
      </c>
      <c r="CL6" s="42">
        <v>3.2500000000000008E-2</v>
      </c>
      <c r="CM6" s="42">
        <v>2.7500000000000007E-2</v>
      </c>
      <c r="CN6" s="51">
        <f t="shared" si="41"/>
        <v>7.0000000000000007E-2</v>
      </c>
      <c r="CO6" s="51">
        <f t="shared" si="42"/>
        <v>7.0000000000000007E-2</v>
      </c>
      <c r="CP6" s="39">
        <f t="shared" si="23"/>
        <v>1.1056975431980067</v>
      </c>
      <c r="CQ6">
        <f t="shared" si="24"/>
        <v>4.5106600000000004E-2</v>
      </c>
      <c r="CR6">
        <f t="shared" si="25"/>
        <v>4.6008732000000004E-2</v>
      </c>
      <c r="CS6">
        <f t="shared" si="26"/>
        <v>4.6928906640000004E-2</v>
      </c>
      <c r="CT6">
        <f t="shared" si="27"/>
        <v>4.7867484772800006E-2</v>
      </c>
      <c r="CU6">
        <f t="shared" si="28"/>
        <v>4.8824834468256008E-2</v>
      </c>
      <c r="CV6">
        <f t="shared" si="29"/>
        <v>1.3712454760409698</v>
      </c>
      <c r="CY6" s="35">
        <f t="shared" si="43"/>
        <v>0.02</v>
      </c>
      <c r="CZ6" s="35">
        <f t="shared" si="44"/>
        <v>2.5000000000000001E-2</v>
      </c>
      <c r="DB6" s="6">
        <f t="shared" si="30"/>
        <v>0.05</v>
      </c>
      <c r="DC6" s="6">
        <f t="shared" si="45"/>
        <v>4.5000000000000005E-2</v>
      </c>
      <c r="DE6" s="6">
        <f t="shared" si="46"/>
        <v>6.1576354679802957E-2</v>
      </c>
      <c r="DF6" s="6">
        <f t="shared" si="47"/>
        <v>5.5418719211822662E-2</v>
      </c>
    </row>
    <row r="7" spans="1:110" x14ac:dyDescent="0.25">
      <c r="A7">
        <f t="shared" si="48"/>
        <v>5</v>
      </c>
      <c r="B7" s="1" t="s">
        <v>61</v>
      </c>
      <c r="C7" s="1" t="s">
        <v>66</v>
      </c>
      <c r="D7" s="3">
        <v>4.8000000000000001E-2</v>
      </c>
      <c r="E7" s="3">
        <v>0.159</v>
      </c>
      <c r="F7" s="2">
        <f t="shared" si="31"/>
        <v>4.0368000000000001E-2</v>
      </c>
      <c r="G7" s="4"/>
      <c r="H7" s="2">
        <f t="shared" si="32"/>
        <v>2.5000000000000001E-2</v>
      </c>
      <c r="I7" s="2">
        <f t="shared" si="33"/>
        <v>0.04</v>
      </c>
      <c r="J7" s="6"/>
      <c r="K7" s="2">
        <f t="shared" si="49"/>
        <v>2.9726516052318672E-2</v>
      </c>
      <c r="L7" s="2">
        <f t="shared" si="50"/>
        <v>4.7562425683709872E-2</v>
      </c>
      <c r="M7" s="6"/>
      <c r="N7" s="2">
        <f t="shared" si="0"/>
        <v>-1.6E-2</v>
      </c>
      <c r="O7" s="2">
        <f t="shared" si="1"/>
        <v>5.9999999999999984E-3</v>
      </c>
      <c r="P7" s="2">
        <f t="shared" si="2"/>
        <v>2.3E-2</v>
      </c>
      <c r="Q7" s="2">
        <f t="shared" si="3"/>
        <v>0.04</v>
      </c>
      <c r="R7" s="2">
        <f t="shared" si="4"/>
        <v>0.05</v>
      </c>
      <c r="S7" s="2">
        <f t="shared" si="5"/>
        <v>2.5000000000000001E-2</v>
      </c>
      <c r="T7" s="2" cm="1">
        <f t="array" ref="T7">+PRODUCT(1+N7:P7)^(0.333333333333333)-1</f>
        <v>4.206213627813149E-3</v>
      </c>
      <c r="U7" s="12" cm="1">
        <f t="array" ref="U7">+PRODUCT(1+N7:S7)^(1/6)-1</f>
        <v>2.1102178545400418E-2</v>
      </c>
      <c r="V7" s="12"/>
      <c r="W7" s="12"/>
      <c r="X7" s="12"/>
      <c r="Y7" s="12"/>
      <c r="Z7" s="6">
        <f t="shared" si="6"/>
        <v>0.2705296628426066</v>
      </c>
      <c r="AA7" s="6">
        <f t="shared" si="34"/>
        <v>8.5711712845245147E-2</v>
      </c>
      <c r="AB7" s="6"/>
      <c r="AC7" s="6">
        <f t="shared" si="7"/>
        <v>0.43123625060106419</v>
      </c>
      <c r="AD7" s="6">
        <f t="shared" si="8"/>
        <v>0.10699423306183359</v>
      </c>
      <c r="AE7" s="6"/>
      <c r="AF7" s="6">
        <f t="shared" si="9"/>
        <v>0.28052966284260661</v>
      </c>
      <c r="AG7" s="6">
        <f t="shared" si="35"/>
        <v>0.11699423306183358</v>
      </c>
      <c r="AH7" s="6"/>
      <c r="AI7" s="6">
        <f t="shared" si="10"/>
        <v>0.2680296628426066</v>
      </c>
      <c r="AJ7" s="6">
        <f t="shared" si="11"/>
        <v>0.10449423306183359</v>
      </c>
      <c r="AL7" s="3">
        <v>-1.6E-2</v>
      </c>
      <c r="AM7" s="3">
        <v>5.9999999999999984E-3</v>
      </c>
      <c r="AN7" s="3">
        <v>2.3E-2</v>
      </c>
      <c r="AO7" s="3">
        <v>0.04</v>
      </c>
      <c r="AP7" s="3">
        <v>0.05</v>
      </c>
      <c r="AQ7" s="3">
        <v>2.5000000000000001E-2</v>
      </c>
      <c r="AR7" s="2" cm="1">
        <f t="array" ref="AR7">+PRODUCT(1+AL7:AN7)^(0.333333333333333)-1</f>
        <v>4.206213627813149E-3</v>
      </c>
      <c r="AS7" s="12" cm="1">
        <f t="array" ref="AS7">+PRODUCT(1+AL7:AQ7)^(1/6)-1</f>
        <v>2.1102178545400418E-2</v>
      </c>
      <c r="AU7" s="3">
        <v>-1.6320000000000015E-3</v>
      </c>
      <c r="AV7" s="3">
        <v>-5.0000000000000001E-3</v>
      </c>
      <c r="AW7" s="40"/>
      <c r="AX7" s="42">
        <v>1.2500000000000001E-2</v>
      </c>
      <c r="AZ7" s="15">
        <f t="shared" si="36"/>
        <v>-1</v>
      </c>
      <c r="BA7" s="15">
        <f t="shared" si="12"/>
        <v>3.9722112000000004E-2</v>
      </c>
      <c r="BB7" s="15">
        <f t="shared" si="13"/>
        <v>3.9960444672000002E-2</v>
      </c>
      <c r="BC7" s="15">
        <f t="shared" si="14"/>
        <v>1.936054772838236</v>
      </c>
      <c r="BD7" s="15"/>
      <c r="BE7" s="15">
        <v>-1</v>
      </c>
      <c r="BF7" s="15">
        <f t="shared" si="15"/>
        <v>3.9722112000000004E-2</v>
      </c>
      <c r="BG7" s="15">
        <f t="shared" si="16"/>
        <v>3.9960444672000002E-2</v>
      </c>
      <c r="BH7" s="15">
        <f t="shared" si="17"/>
        <v>4.0879534899455998E-2</v>
      </c>
      <c r="BI7" s="15">
        <f t="shared" si="18"/>
        <v>4.2514716295434241E-2</v>
      </c>
      <c r="BJ7" s="15">
        <f t="shared" si="19"/>
        <v>4.4640452110205953E-2</v>
      </c>
      <c r="BK7" s="15">
        <f t="shared" si="20"/>
        <v>1.3715499908035089</v>
      </c>
      <c r="BM7" s="25">
        <v>0.43</v>
      </c>
      <c r="BN7" s="50">
        <f t="shared" si="37"/>
        <v>5.7500000000000002E-2</v>
      </c>
      <c r="BO7" s="26">
        <v>5.7500000000000002E-2</v>
      </c>
      <c r="BP7" s="26">
        <v>6.0000000000000005E-2</v>
      </c>
      <c r="BQ7" s="26">
        <v>5.5E-2</v>
      </c>
      <c r="BR7" s="26">
        <v>0.01</v>
      </c>
      <c r="BS7" s="26">
        <v>1.2500000000000001E-2</v>
      </c>
      <c r="BU7">
        <f t="shared" si="21"/>
        <v>3</v>
      </c>
      <c r="BV7">
        <f t="shared" si="38"/>
        <v>5</v>
      </c>
      <c r="BW7" s="27">
        <v>0.15</v>
      </c>
      <c r="BX7" s="27">
        <v>0.3</v>
      </c>
      <c r="BY7" s="7"/>
      <c r="CB7">
        <f t="shared" si="22"/>
        <v>7</v>
      </c>
      <c r="CC7">
        <f t="shared" si="39"/>
        <v>5</v>
      </c>
      <c r="CD7" s="27">
        <v>0.2</v>
      </c>
      <c r="CE7" s="27">
        <v>0.3</v>
      </c>
      <c r="CJ7" s="50">
        <f t="shared" si="40"/>
        <v>2.5000000000000001E-2</v>
      </c>
      <c r="CK7" s="42">
        <v>2.5000000000000001E-2</v>
      </c>
      <c r="CL7" s="42">
        <v>2.75E-2</v>
      </c>
      <c r="CM7" s="42">
        <v>2.2500000000000003E-2</v>
      </c>
      <c r="CN7" s="51">
        <f t="shared" si="41"/>
        <v>6.5000000000000002E-2</v>
      </c>
      <c r="CO7" s="51">
        <f t="shared" si="42"/>
        <v>6.5000000000000002E-2</v>
      </c>
      <c r="CP7" s="39">
        <f t="shared" si="23"/>
        <v>1.1119712261192936</v>
      </c>
      <c r="CQ7">
        <f t="shared" si="24"/>
        <v>3.9722112000000004E-2</v>
      </c>
      <c r="CR7">
        <f t="shared" si="25"/>
        <v>3.9960444672000002E-2</v>
      </c>
      <c r="CS7">
        <f t="shared" si="26"/>
        <v>4.0879534899455998E-2</v>
      </c>
      <c r="CT7">
        <f t="shared" si="27"/>
        <v>4.2514716295434241E-2</v>
      </c>
      <c r="CU7">
        <f t="shared" si="28"/>
        <v>4.4640452110205953E-2</v>
      </c>
      <c r="CV7">
        <f t="shared" si="29"/>
        <v>1.3715499908035089</v>
      </c>
      <c r="CY7" s="35">
        <f t="shared" si="43"/>
        <v>0.04</v>
      </c>
      <c r="CZ7" s="35">
        <f t="shared" si="44"/>
        <v>2.5000000000000001E-2</v>
      </c>
      <c r="DB7" s="6">
        <f t="shared" si="30"/>
        <v>2.5000000000000001E-2</v>
      </c>
      <c r="DC7" s="6">
        <f t="shared" si="45"/>
        <v>0.04</v>
      </c>
      <c r="DE7" s="6">
        <f t="shared" si="46"/>
        <v>2.9726516052318672E-2</v>
      </c>
      <c r="DF7" s="6">
        <f t="shared" si="47"/>
        <v>4.7562425683709872E-2</v>
      </c>
    </row>
    <row r="8" spans="1:110" x14ac:dyDescent="0.25">
      <c r="A8">
        <f t="shared" si="48"/>
        <v>6</v>
      </c>
      <c r="B8" s="1" t="s">
        <v>61</v>
      </c>
      <c r="C8" s="1" t="s">
        <v>67</v>
      </c>
      <c r="D8" s="3">
        <v>4.1000000000000002E-2</v>
      </c>
      <c r="E8" s="3">
        <v>0.13800000000000001</v>
      </c>
      <c r="F8" s="2">
        <f t="shared" si="31"/>
        <v>3.5341999999999998E-2</v>
      </c>
      <c r="G8" s="4"/>
      <c r="H8" s="2">
        <f t="shared" si="32"/>
        <v>3.5000000000000003E-2</v>
      </c>
      <c r="I8" s="2">
        <f t="shared" si="33"/>
        <v>4.5000000000000005E-2</v>
      </c>
      <c r="J8" s="6"/>
      <c r="K8" s="2">
        <f t="shared" si="49"/>
        <v>4.0603248259860794E-2</v>
      </c>
      <c r="L8" s="2">
        <f t="shared" si="50"/>
        <v>5.2204176334106733E-2</v>
      </c>
      <c r="M8" s="6"/>
      <c r="N8" s="2">
        <f t="shared" si="0"/>
        <v>6.6000000000000003E-2</v>
      </c>
      <c r="O8" s="2">
        <f t="shared" si="1"/>
        <v>5.8999999999999997E-2</v>
      </c>
      <c r="P8" s="2">
        <f t="shared" si="2"/>
        <v>0.05</v>
      </c>
      <c r="Q8" s="2">
        <f t="shared" si="3"/>
        <v>3.5000000000000003E-2</v>
      </c>
      <c r="R8" s="2">
        <f t="shared" si="4"/>
        <v>0.03</v>
      </c>
      <c r="S8" s="2">
        <f t="shared" si="5"/>
        <v>2.5000000000000001E-2</v>
      </c>
      <c r="T8" s="2" cm="1">
        <f t="array" ref="T8">+PRODUCT(1+N8:P8)^(0.333333333333333)-1</f>
        <v>5.8313057802124924E-2</v>
      </c>
      <c r="U8" s="12" cm="1">
        <f t="array" ref="U8">+PRODUCT(1+N8:S8)^(1/6)-1</f>
        <v>4.4056457796009418E-2</v>
      </c>
      <c r="V8" s="12"/>
      <c r="W8" s="12"/>
      <c r="X8" s="12"/>
      <c r="Y8" s="12"/>
      <c r="Z8" s="6">
        <f t="shared" si="6"/>
        <v>0.14445853288798016</v>
      </c>
      <c r="AA8" s="6">
        <f t="shared" si="34"/>
        <v>6.4271024705738977E-2</v>
      </c>
      <c r="AB8" s="6"/>
      <c r="AC8" s="6">
        <f t="shared" si="7"/>
        <v>0.15520621672806759</v>
      </c>
      <c r="AD8" s="6">
        <f t="shared" si="8"/>
        <v>6.5107892927796604E-2</v>
      </c>
      <c r="AE8" s="6"/>
      <c r="AF8" s="6">
        <f t="shared" si="9"/>
        <v>0.15195853288798017</v>
      </c>
      <c r="AG8" s="6">
        <f t="shared" si="35"/>
        <v>7.2607892927796597E-2</v>
      </c>
      <c r="AH8" s="6"/>
      <c r="AI8" s="6">
        <f t="shared" si="10"/>
        <v>0.13945853288798016</v>
      </c>
      <c r="AJ8" s="6">
        <f t="shared" si="11"/>
        <v>6.01078929277966E-2</v>
      </c>
      <c r="AL8" s="3">
        <v>6.6000000000000003E-2</v>
      </c>
      <c r="AM8" s="3">
        <v>5.8999999999999997E-2</v>
      </c>
      <c r="AN8" s="3">
        <v>0.05</v>
      </c>
      <c r="AO8" s="3">
        <v>3.5000000000000003E-2</v>
      </c>
      <c r="AP8" s="3">
        <v>0.03</v>
      </c>
      <c r="AQ8" s="3">
        <v>2.5000000000000001E-2</v>
      </c>
      <c r="AR8" s="2" cm="1">
        <f t="array" ref="AR8">+PRODUCT(1+AL8:AN8)^(0.333333333333333)-1</f>
        <v>5.8313057802124924E-2</v>
      </c>
      <c r="AS8" s="12" cm="1">
        <f t="array" ref="AS8">+PRODUCT(1+AL8:AQ8)^(1/6)-1</f>
        <v>4.4056457796009418E-2</v>
      </c>
      <c r="AU8" s="3">
        <v>-3.1580000000000002E-3</v>
      </c>
      <c r="AV8" s="3">
        <v>0</v>
      </c>
      <c r="AW8" s="40"/>
      <c r="AX8" s="42">
        <v>1.7500000000000002E-2</v>
      </c>
      <c r="AZ8" s="15">
        <f t="shared" si="36"/>
        <v>-1</v>
      </c>
      <c r="BA8" s="15">
        <f t="shared" si="12"/>
        <v>3.7674572000000003E-2</v>
      </c>
      <c r="BB8" s="15">
        <f t="shared" si="13"/>
        <v>3.9897371748000003E-2</v>
      </c>
      <c r="BC8" s="15">
        <f t="shared" si="14"/>
        <v>1.40398851181212</v>
      </c>
      <c r="BD8" s="15"/>
      <c r="BE8" s="15">
        <v>-1</v>
      </c>
      <c r="BF8" s="15">
        <f t="shared" si="15"/>
        <v>3.7674572000000003E-2</v>
      </c>
      <c r="BG8" s="15">
        <f t="shared" si="16"/>
        <v>3.9897371748000003E-2</v>
      </c>
      <c r="BH8" s="15">
        <f t="shared" si="17"/>
        <v>4.1892240335400004E-2</v>
      </c>
      <c r="BI8" s="15">
        <f t="shared" si="18"/>
        <v>4.3358468747139001E-2</v>
      </c>
      <c r="BJ8" s="15">
        <f t="shared" si="19"/>
        <v>4.4659222809553173E-2</v>
      </c>
      <c r="BK8" s="15">
        <f t="shared" si="20"/>
        <v>1.2033923799620874</v>
      </c>
      <c r="BM8" s="25">
        <v>0.11</v>
      </c>
      <c r="BN8" s="50">
        <f t="shared" si="37"/>
        <v>5.7500000000000002E-2</v>
      </c>
      <c r="BO8" s="26">
        <v>5.7500000000000002E-2</v>
      </c>
      <c r="BP8" s="26">
        <v>6.0000000000000005E-2</v>
      </c>
      <c r="BQ8" s="26">
        <v>5.5E-2</v>
      </c>
      <c r="BR8" s="26">
        <v>7.4999999999999997E-3</v>
      </c>
      <c r="BS8" s="26">
        <v>1.2500000000000001E-2</v>
      </c>
      <c r="BU8">
        <f t="shared" si="21"/>
        <v>9</v>
      </c>
      <c r="BV8">
        <f t="shared" si="38"/>
        <v>6</v>
      </c>
      <c r="BW8" s="27">
        <v>0.15</v>
      </c>
      <c r="BX8" s="27">
        <v>0.3</v>
      </c>
      <c r="BY8" s="7"/>
      <c r="CB8">
        <f t="shared" si="22"/>
        <v>13</v>
      </c>
      <c r="CC8">
        <f t="shared" si="39"/>
        <v>6</v>
      </c>
      <c r="CD8" s="27">
        <v>0.2</v>
      </c>
      <c r="CE8" s="27">
        <v>0.3</v>
      </c>
      <c r="CJ8" s="50">
        <f t="shared" si="40"/>
        <v>3.0000000000000006E-2</v>
      </c>
      <c r="CK8" s="42">
        <v>3.0000000000000006E-2</v>
      </c>
      <c r="CL8" s="42">
        <v>3.2500000000000008E-2</v>
      </c>
      <c r="CM8" s="42">
        <v>2.7500000000000007E-2</v>
      </c>
      <c r="CN8" s="51">
        <f t="shared" si="41"/>
        <v>7.0000000000000007E-2</v>
      </c>
      <c r="CO8" s="51">
        <f t="shared" si="42"/>
        <v>7.0000000000000007E-2</v>
      </c>
      <c r="CP8" s="39">
        <f t="shared" si="23"/>
        <v>0.9710448683052173</v>
      </c>
      <c r="CQ8">
        <f t="shared" si="24"/>
        <v>3.7674572000000003E-2</v>
      </c>
      <c r="CR8">
        <f t="shared" si="25"/>
        <v>3.9897371748000003E-2</v>
      </c>
      <c r="CS8">
        <f t="shared" si="26"/>
        <v>4.1892240335400004E-2</v>
      </c>
      <c r="CT8">
        <f t="shared" si="27"/>
        <v>4.3358468747139001E-2</v>
      </c>
      <c r="CU8">
        <f t="shared" si="28"/>
        <v>4.4659222809553173E-2</v>
      </c>
      <c r="CV8">
        <f t="shared" si="29"/>
        <v>1.2033923799620874</v>
      </c>
      <c r="CY8" s="35">
        <f t="shared" si="43"/>
        <v>3.5000000000000003E-2</v>
      </c>
      <c r="CZ8" s="35">
        <f t="shared" si="44"/>
        <v>2.5000000000000001E-2</v>
      </c>
      <c r="DB8" s="6">
        <f t="shared" si="30"/>
        <v>3.5000000000000003E-2</v>
      </c>
      <c r="DC8" s="6">
        <f t="shared" si="45"/>
        <v>4.5000000000000005E-2</v>
      </c>
      <c r="DE8" s="6">
        <f t="shared" si="46"/>
        <v>4.0603248259860794E-2</v>
      </c>
      <c r="DF8" s="6">
        <f t="shared" si="47"/>
        <v>5.2204176334106733E-2</v>
      </c>
    </row>
    <row r="9" spans="1:110" x14ac:dyDescent="0.25">
      <c r="A9">
        <f t="shared" si="48"/>
        <v>7</v>
      </c>
      <c r="B9" s="1" t="s">
        <v>61</v>
      </c>
      <c r="C9" s="1" t="s">
        <v>68</v>
      </c>
      <c r="D9" s="3">
        <v>5.3999999999999999E-2</v>
      </c>
      <c r="E9" s="3">
        <v>0.29399999999999998</v>
      </c>
      <c r="F9" s="2">
        <f t="shared" si="31"/>
        <v>3.8123999999999998E-2</v>
      </c>
      <c r="G9" s="4"/>
      <c r="H9" s="2">
        <f t="shared" si="32"/>
        <v>6.9999999999999993E-2</v>
      </c>
      <c r="I9" s="2">
        <f t="shared" si="33"/>
        <v>5.4999999999999993E-2</v>
      </c>
      <c r="J9" s="6"/>
      <c r="K9" s="2">
        <f t="shared" si="49"/>
        <v>9.9150141643059492E-2</v>
      </c>
      <c r="L9" s="2">
        <f t="shared" si="50"/>
        <v>7.7903682719546744E-2</v>
      </c>
      <c r="M9" s="6"/>
      <c r="N9" s="2">
        <f t="shared" si="0"/>
        <v>-1.3999999999999999E-2</v>
      </c>
      <c r="O9" s="2">
        <f t="shared" si="1"/>
        <v>-6.9999999999999993E-3</v>
      </c>
      <c r="P9" s="2">
        <f t="shared" si="2"/>
        <v>-2.9999999999999992E-3</v>
      </c>
      <c r="Q9" s="2">
        <f t="shared" si="3"/>
        <v>5.000000000000001E-3</v>
      </c>
      <c r="R9" s="2">
        <f t="shared" si="4"/>
        <v>0.01</v>
      </c>
      <c r="S9" s="2">
        <f t="shared" si="5"/>
        <v>0.02</v>
      </c>
      <c r="T9" s="2" cm="1">
        <f t="array" ref="T9">+PRODUCT(1+N9:P9)^(0.333333333333333)-1</f>
        <v>-8.010426938204751E-3</v>
      </c>
      <c r="U9" s="12" cm="1">
        <f t="array" ref="U9">+PRODUCT(1+N9:S9)^(1/6)-1</f>
        <v>1.7703070338461746E-3</v>
      </c>
      <c r="V9" s="12"/>
      <c r="W9" s="12"/>
      <c r="X9" s="12"/>
      <c r="Y9" s="12"/>
      <c r="Z9" s="6">
        <f t="shared" si="6"/>
        <v>-7.4836844404411074E-2</v>
      </c>
      <c r="AA9" s="6">
        <f t="shared" si="34"/>
        <v>2.2917980139525618E-2</v>
      </c>
      <c r="AB9" s="6"/>
      <c r="AC9" s="6">
        <f t="shared" si="7"/>
        <v>-0.13116228389501539</v>
      </c>
      <c r="AD9" s="6">
        <f t="shared" si="8"/>
        <v>4.6083057493411317E-3</v>
      </c>
      <c r="AE9" s="6"/>
      <c r="AF9" s="6">
        <f t="shared" si="9"/>
        <v>-7.4836844404411074E-2</v>
      </c>
      <c r="AG9" s="6">
        <f t="shared" si="35"/>
        <v>4.6083057493411317E-3</v>
      </c>
      <c r="AH9" s="6"/>
      <c r="AI9" s="6">
        <f t="shared" si="10"/>
        <v>-8.7336844404411071E-2</v>
      </c>
      <c r="AJ9" s="6">
        <f t="shared" si="11"/>
        <v>-7.8916942506588698E-3</v>
      </c>
      <c r="AL9" s="3">
        <v>-1.3999999999999999E-2</v>
      </c>
      <c r="AM9" s="3">
        <v>-6.9999999999999993E-3</v>
      </c>
      <c r="AN9" s="3">
        <v>-2.9999999999999992E-3</v>
      </c>
      <c r="AO9" s="3">
        <v>5.000000000000001E-3</v>
      </c>
      <c r="AP9" s="3">
        <v>0.01</v>
      </c>
      <c r="AQ9" s="3">
        <v>0.02</v>
      </c>
      <c r="AR9" s="2" cm="1">
        <f t="array" ref="AR9">+PRODUCT(1+AL9:AN9)^(0.333333333333333)-1</f>
        <v>-8.010426938204751E-3</v>
      </c>
      <c r="AS9" s="12" cm="1">
        <f t="array" ref="AS9">+PRODUCT(1+AL9:AQ9)^(1/6)-1</f>
        <v>1.7703070338461746E-3</v>
      </c>
      <c r="AU9" s="3">
        <v>8.1239999999999993E-3</v>
      </c>
      <c r="AV9" s="3">
        <v>8.1239999999999993E-3</v>
      </c>
      <c r="AW9" s="40"/>
      <c r="AX9" s="42">
        <v>3.5000000000000003E-2</v>
      </c>
      <c r="AZ9" s="15">
        <f t="shared" si="36"/>
        <v>-1</v>
      </c>
      <c r="BA9" s="15">
        <f t="shared" si="12"/>
        <v>3.7590263999999998E-2</v>
      </c>
      <c r="BB9" s="15">
        <f t="shared" si="13"/>
        <v>3.7327132151999995E-2</v>
      </c>
      <c r="BC9" s="15">
        <f t="shared" si="14"/>
        <v>0.72516379472231463</v>
      </c>
      <c r="BD9" s="15"/>
      <c r="BE9" s="15">
        <v>-1</v>
      </c>
      <c r="BF9" s="15">
        <f t="shared" si="15"/>
        <v>3.7590263999999998E-2</v>
      </c>
      <c r="BG9" s="15">
        <f t="shared" si="16"/>
        <v>3.7327132151999995E-2</v>
      </c>
      <c r="BH9" s="15">
        <f t="shared" si="17"/>
        <v>3.7215150755543998E-2</v>
      </c>
      <c r="BI9" s="15">
        <f t="shared" si="18"/>
        <v>3.7401226509321712E-2</v>
      </c>
      <c r="BJ9" s="15">
        <f t="shared" si="19"/>
        <v>3.7775238774414931E-2</v>
      </c>
      <c r="BK9" s="15">
        <f t="shared" si="20"/>
        <v>0.94505405543308119</v>
      </c>
      <c r="BM9" s="25">
        <v>0.28000000000000003</v>
      </c>
      <c r="BN9" s="50">
        <f t="shared" si="37"/>
        <v>7.0000000000000007E-2</v>
      </c>
      <c r="BO9" s="26">
        <v>7.0000000000000007E-2</v>
      </c>
      <c r="BP9" s="26">
        <v>7.2500000000000009E-2</v>
      </c>
      <c r="BQ9" s="26">
        <v>6.7500000000000004E-2</v>
      </c>
      <c r="BR9" s="26">
        <v>0</v>
      </c>
      <c r="BS9" s="26">
        <v>1.2500000000000001E-2</v>
      </c>
      <c r="BU9">
        <f t="shared" si="21"/>
        <v>19</v>
      </c>
      <c r="BV9">
        <f t="shared" si="38"/>
        <v>7</v>
      </c>
      <c r="BW9" s="27">
        <v>0.05</v>
      </c>
      <c r="BX9" s="27">
        <v>0.15</v>
      </c>
      <c r="BY9" s="7"/>
      <c r="CB9">
        <f t="shared" si="22"/>
        <v>19</v>
      </c>
      <c r="CC9">
        <f t="shared" si="39"/>
        <v>7</v>
      </c>
      <c r="CD9" s="27">
        <v>0.05</v>
      </c>
      <c r="CE9" s="27">
        <v>0.15</v>
      </c>
      <c r="CJ9" s="50">
        <f t="shared" si="40"/>
        <v>3.4999999999999996E-2</v>
      </c>
      <c r="CK9" s="42">
        <v>3.4999999999999996E-2</v>
      </c>
      <c r="CL9" s="42">
        <v>3.7499999999999999E-2</v>
      </c>
      <c r="CM9" s="42">
        <v>3.2499999999999994E-2</v>
      </c>
      <c r="CN9" s="51">
        <f t="shared" si="41"/>
        <v>7.4999999999999997E-2</v>
      </c>
      <c r="CO9" s="51">
        <f t="shared" si="42"/>
        <v>7.4999999999999997E-2</v>
      </c>
      <c r="CP9" s="39">
        <f t="shared" si="23"/>
        <v>0.76390218883231498</v>
      </c>
      <c r="CQ9">
        <f t="shared" si="24"/>
        <v>3.7590263999999998E-2</v>
      </c>
      <c r="CR9">
        <f t="shared" si="25"/>
        <v>3.7327132151999995E-2</v>
      </c>
      <c r="CS9">
        <f t="shared" si="26"/>
        <v>3.7215150755543998E-2</v>
      </c>
      <c r="CT9">
        <f t="shared" si="27"/>
        <v>3.7401226509321712E-2</v>
      </c>
      <c r="CU9">
        <f t="shared" si="28"/>
        <v>3.7775238774414931E-2</v>
      </c>
      <c r="CV9">
        <f t="shared" si="29"/>
        <v>0.94505405543308119</v>
      </c>
      <c r="CY9" s="35">
        <f t="shared" si="43"/>
        <v>5.000000000000001E-3</v>
      </c>
      <c r="CZ9" s="35">
        <f t="shared" si="44"/>
        <v>0.02</v>
      </c>
      <c r="DB9" s="6">
        <f t="shared" si="30"/>
        <v>6.9999999999999993E-2</v>
      </c>
      <c r="DC9" s="6">
        <f t="shared" si="45"/>
        <v>5.4999999999999993E-2</v>
      </c>
      <c r="DE9" s="6">
        <f t="shared" si="46"/>
        <v>9.9150141643059492E-2</v>
      </c>
      <c r="DF9" s="6">
        <f t="shared" si="47"/>
        <v>7.7903682719546744E-2</v>
      </c>
    </row>
    <row r="10" spans="1:110" x14ac:dyDescent="0.25">
      <c r="A10">
        <f t="shared" si="48"/>
        <v>8</v>
      </c>
      <c r="B10" s="1" t="s">
        <v>61</v>
      </c>
      <c r="C10" s="1" t="s">
        <v>69</v>
      </c>
      <c r="D10" s="3">
        <v>5.8999999999999997E-2</v>
      </c>
      <c r="E10" s="3">
        <v>0.188</v>
      </c>
      <c r="F10" s="2">
        <f t="shared" si="31"/>
        <v>4.7907999999999999E-2</v>
      </c>
      <c r="G10" s="4"/>
      <c r="H10" s="2">
        <f t="shared" si="32"/>
        <v>0.05</v>
      </c>
      <c r="I10" s="2">
        <f t="shared" si="33"/>
        <v>4.5000000000000005E-2</v>
      </c>
      <c r="J10" s="6"/>
      <c r="K10" s="2">
        <f t="shared" si="49"/>
        <v>6.1576354679802957E-2</v>
      </c>
      <c r="L10" s="2">
        <f t="shared" si="50"/>
        <v>5.5418719211822662E-2</v>
      </c>
      <c r="M10" s="6"/>
      <c r="N10" s="2">
        <f t="shared" si="0"/>
        <v>0.01</v>
      </c>
      <c r="O10" s="2">
        <f t="shared" si="1"/>
        <v>0.02</v>
      </c>
      <c r="P10" s="2">
        <f t="shared" si="2"/>
        <v>0.02</v>
      </c>
      <c r="Q10" s="2">
        <f t="shared" si="3"/>
        <v>0.02</v>
      </c>
      <c r="R10" s="2">
        <f t="shared" si="4"/>
        <v>0.02</v>
      </c>
      <c r="S10" s="2">
        <f t="shared" si="5"/>
        <v>2.5000000000000001E-2</v>
      </c>
      <c r="T10" s="2" cm="1">
        <f t="array" ref="T10">+PRODUCT(1+N10:P10)^(0.333333333333333)-1</f>
        <v>1.6655713698476626E-2</v>
      </c>
      <c r="U10" s="12" cm="1">
        <f t="array" ref="U10">+PRODUCT(1+N10:S10)^(1/6)-1</f>
        <v>1.9156755856084562E-2</v>
      </c>
      <c r="V10" s="12"/>
      <c r="W10" s="12"/>
      <c r="X10" s="12"/>
      <c r="Y10" s="12"/>
      <c r="Z10" s="6">
        <f t="shared" si="6"/>
        <v>0.10808574521444925</v>
      </c>
      <c r="AA10" s="6">
        <f t="shared" si="34"/>
        <v>0.1041380897123716</v>
      </c>
      <c r="AB10" s="6"/>
      <c r="AC10" s="6">
        <f t="shared" si="7"/>
        <v>0.15072782115933819</v>
      </c>
      <c r="AD10" s="6">
        <f t="shared" si="8"/>
        <v>0.1432794145516445</v>
      </c>
      <c r="AE10" s="6"/>
      <c r="AF10" s="6">
        <f t="shared" si="9"/>
        <v>0.11058574521444925</v>
      </c>
      <c r="AG10" s="6">
        <f t="shared" si="35"/>
        <v>0.1457794145516445</v>
      </c>
      <c r="AH10" s="6"/>
      <c r="AI10" s="6">
        <f t="shared" si="10"/>
        <v>9.8085745214449252E-2</v>
      </c>
      <c r="AJ10" s="6">
        <f t="shared" si="11"/>
        <v>0.13327941455164449</v>
      </c>
      <c r="AL10" s="3">
        <v>0.01</v>
      </c>
      <c r="AM10" s="3">
        <v>0.02</v>
      </c>
      <c r="AN10" s="3">
        <v>0.02</v>
      </c>
      <c r="AO10" s="3">
        <v>0.02</v>
      </c>
      <c r="AP10" s="3">
        <v>0.02</v>
      </c>
      <c r="AQ10" s="3">
        <v>2.5000000000000001E-2</v>
      </c>
      <c r="AR10" s="2" cm="1">
        <f t="array" ref="AR10">+PRODUCT(1+AL10:AN10)^(0.333333333333333)-1</f>
        <v>1.6655713698476626E-2</v>
      </c>
      <c r="AS10" s="12" cm="1">
        <f t="array" ref="AS10">+PRODUCT(1+AL10:AQ10)^(1/6)-1</f>
        <v>1.9156755856084562E-2</v>
      </c>
      <c r="AU10" s="3">
        <v>7.9079999999999984E-3</v>
      </c>
      <c r="AV10" s="3">
        <v>7.9079999999999984E-3</v>
      </c>
      <c r="AW10" s="40"/>
      <c r="AX10" s="42">
        <v>2.5000000000000001E-2</v>
      </c>
      <c r="AZ10" s="15">
        <f t="shared" si="36"/>
        <v>-1</v>
      </c>
      <c r="BA10" s="15">
        <f t="shared" si="12"/>
        <v>4.8387079999999999E-2</v>
      </c>
      <c r="BB10" s="15">
        <f t="shared" si="13"/>
        <v>4.9354821600000001E-2</v>
      </c>
      <c r="BC10" s="15">
        <f t="shared" si="14"/>
        <v>1.2464658904723198</v>
      </c>
      <c r="BD10" s="15"/>
      <c r="BE10" s="15">
        <v>-1</v>
      </c>
      <c r="BF10" s="15">
        <f t="shared" si="15"/>
        <v>4.8387079999999999E-2</v>
      </c>
      <c r="BG10" s="15">
        <f t="shared" si="16"/>
        <v>4.9354821600000001E-2</v>
      </c>
      <c r="BH10" s="15">
        <f t="shared" si="17"/>
        <v>5.0341918031999999E-2</v>
      </c>
      <c r="BI10" s="15">
        <f t="shared" si="18"/>
        <v>5.1348756392639999E-2</v>
      </c>
      <c r="BJ10" s="15">
        <f t="shared" si="19"/>
        <v>5.2375731520492803E-2</v>
      </c>
      <c r="BK10" s="15">
        <f t="shared" si="20"/>
        <v>1.4709724197530398</v>
      </c>
      <c r="BM10" s="25">
        <v>0.47</v>
      </c>
      <c r="BN10" s="50">
        <f t="shared" si="37"/>
        <v>0.06</v>
      </c>
      <c r="BO10" s="26">
        <v>0.06</v>
      </c>
      <c r="BP10" s="26">
        <v>6.25E-2</v>
      </c>
      <c r="BQ10" s="26">
        <v>5.7499999999999996E-2</v>
      </c>
      <c r="BR10" s="26">
        <v>2.5000000000000001E-3</v>
      </c>
      <c r="BS10" s="26">
        <v>1.2500000000000001E-2</v>
      </c>
      <c r="BU10">
        <f t="shared" si="21"/>
        <v>13</v>
      </c>
      <c r="BV10">
        <f t="shared" si="38"/>
        <v>8</v>
      </c>
      <c r="BW10" s="27">
        <v>0.05</v>
      </c>
      <c r="BX10" s="27">
        <v>0.15</v>
      </c>
      <c r="BY10" s="7"/>
      <c r="CB10">
        <f t="shared" si="22"/>
        <v>4</v>
      </c>
      <c r="CC10">
        <f t="shared" si="39"/>
        <v>8</v>
      </c>
      <c r="CD10" s="27">
        <v>0.05</v>
      </c>
      <c r="CE10" s="27">
        <v>0.15</v>
      </c>
      <c r="CJ10" s="50">
        <f t="shared" si="40"/>
        <v>3.0000000000000006E-2</v>
      </c>
      <c r="CK10" s="42">
        <v>3.0000000000000006E-2</v>
      </c>
      <c r="CL10" s="42">
        <v>3.2500000000000008E-2</v>
      </c>
      <c r="CM10" s="42">
        <v>2.7500000000000007E-2</v>
      </c>
      <c r="CN10" s="51">
        <f t="shared" si="41"/>
        <v>7.0000000000000007E-2</v>
      </c>
      <c r="CO10" s="51">
        <f t="shared" si="42"/>
        <v>7.0000000000000007E-2</v>
      </c>
      <c r="CP10" s="39">
        <f t="shared" si="23"/>
        <v>1.1861119099760433</v>
      </c>
      <c r="CQ10">
        <f t="shared" si="24"/>
        <v>4.8387079999999999E-2</v>
      </c>
      <c r="CR10">
        <f t="shared" si="25"/>
        <v>4.9354821600000001E-2</v>
      </c>
      <c r="CS10">
        <f t="shared" si="26"/>
        <v>5.0341918031999999E-2</v>
      </c>
      <c r="CT10">
        <f t="shared" si="27"/>
        <v>5.1348756392639999E-2</v>
      </c>
      <c r="CU10">
        <f t="shared" si="28"/>
        <v>5.2375731520492803E-2</v>
      </c>
      <c r="CV10">
        <f t="shared" si="29"/>
        <v>1.4709724197530398</v>
      </c>
      <c r="CY10" s="35">
        <f t="shared" si="43"/>
        <v>0.02</v>
      </c>
      <c r="CZ10" s="35">
        <f t="shared" si="44"/>
        <v>2.5000000000000001E-2</v>
      </c>
      <c r="DB10" s="6">
        <f t="shared" si="30"/>
        <v>0.05</v>
      </c>
      <c r="DC10" s="6">
        <f t="shared" si="45"/>
        <v>4.5000000000000005E-2</v>
      </c>
      <c r="DE10" s="6">
        <f t="shared" si="46"/>
        <v>6.1576354679802957E-2</v>
      </c>
      <c r="DF10" s="6">
        <f t="shared" si="47"/>
        <v>5.5418719211822662E-2</v>
      </c>
    </row>
    <row r="11" spans="1:110" x14ac:dyDescent="0.25">
      <c r="A11">
        <f t="shared" si="48"/>
        <v>9</v>
      </c>
      <c r="B11" s="1" t="s">
        <v>61</v>
      </c>
      <c r="C11" s="1" t="s">
        <v>70</v>
      </c>
      <c r="D11" s="3">
        <v>5.3999999999999999E-2</v>
      </c>
      <c r="E11" s="3">
        <v>0.191</v>
      </c>
      <c r="F11" s="2">
        <f t="shared" si="31"/>
        <v>4.3685999999999996E-2</v>
      </c>
      <c r="G11" s="4"/>
      <c r="H11" s="2">
        <f t="shared" si="32"/>
        <v>2.4999999999999994E-2</v>
      </c>
      <c r="I11" s="2">
        <f t="shared" si="33"/>
        <v>4.4999999999999998E-2</v>
      </c>
      <c r="J11" s="6"/>
      <c r="K11" s="2">
        <f t="shared" si="49"/>
        <v>3.0902348578491962E-2</v>
      </c>
      <c r="L11" s="2">
        <f t="shared" si="50"/>
        <v>5.5624227441285541E-2</v>
      </c>
      <c r="M11" s="6"/>
      <c r="N11" s="2">
        <f t="shared" si="0"/>
        <v>5.8999999999999997E-2</v>
      </c>
      <c r="O11" s="2">
        <f t="shared" si="1"/>
        <v>5.8999999999999997E-2</v>
      </c>
      <c r="P11" s="2">
        <f t="shared" si="2"/>
        <v>5.0999999999999997E-2</v>
      </c>
      <c r="Q11" s="2">
        <f t="shared" si="3"/>
        <v>0.05</v>
      </c>
      <c r="R11" s="2">
        <f t="shared" si="4"/>
        <v>0.04</v>
      </c>
      <c r="S11" s="2">
        <f t="shared" si="5"/>
        <v>0.03</v>
      </c>
      <c r="T11" s="2" cm="1">
        <f t="array" ref="T11">+PRODUCT(1+N11:P11)^(0.333333333333333)-1</f>
        <v>5.632659007895735E-2</v>
      </c>
      <c r="U11" s="12" cm="1">
        <f t="array" ref="U11">+PRODUCT(1+N11:S11)^(1/6)-1</f>
        <v>4.8115354346635719E-2</v>
      </c>
      <c r="V11" s="12"/>
      <c r="W11" s="12"/>
      <c r="X11" s="12"/>
      <c r="Y11" s="12"/>
      <c r="Z11" s="6">
        <f t="shared" si="6"/>
        <v>0.38579056027567971</v>
      </c>
      <c r="AA11" s="6">
        <f t="shared" si="34"/>
        <v>0.11776037825056673</v>
      </c>
      <c r="AB11" s="6"/>
      <c r="AC11" s="6">
        <f t="shared" si="7"/>
        <v>0.54748591085922349</v>
      </c>
      <c r="AD11" s="6">
        <f t="shared" si="8"/>
        <v>0.14744086306054738</v>
      </c>
      <c r="AE11" s="6"/>
      <c r="AF11" s="6">
        <f t="shared" si="9"/>
        <v>0.39579056027567971</v>
      </c>
      <c r="AG11" s="6">
        <f t="shared" si="35"/>
        <v>0.15744086306054739</v>
      </c>
      <c r="AH11" s="6"/>
      <c r="AI11" s="6">
        <f t="shared" si="10"/>
        <v>0.3832905602756797</v>
      </c>
      <c r="AJ11" s="6">
        <f t="shared" si="11"/>
        <v>0.14494086306054738</v>
      </c>
      <c r="AL11" s="3">
        <v>5.8999999999999997E-2</v>
      </c>
      <c r="AM11" s="3">
        <v>5.8999999999999997E-2</v>
      </c>
      <c r="AN11" s="3">
        <v>5.0999999999999997E-2</v>
      </c>
      <c r="AO11" s="3">
        <v>0.05</v>
      </c>
      <c r="AP11" s="3">
        <v>0.04</v>
      </c>
      <c r="AQ11" s="3">
        <v>0.03</v>
      </c>
      <c r="AR11" s="2" cm="1">
        <f t="array" ref="AR11">+PRODUCT(1+AL11:AN11)^(0.333333333333333)-1</f>
        <v>5.632659007895735E-2</v>
      </c>
      <c r="AS11" s="12" cm="1">
        <f t="array" ref="AS11">+PRODUCT(1+AL11:AQ11)^(1/6)-1</f>
        <v>4.8115354346635719E-2</v>
      </c>
      <c r="AU11" s="3">
        <v>3.6859999999999948E-3</v>
      </c>
      <c r="AV11" s="3">
        <v>3.6859999999999948E-3</v>
      </c>
      <c r="AW11" s="40"/>
      <c r="AX11" s="42">
        <v>1.4999999999999999E-2</v>
      </c>
      <c r="AZ11" s="15">
        <f t="shared" si="36"/>
        <v>-1</v>
      </c>
      <c r="BA11" s="15">
        <f t="shared" si="12"/>
        <v>4.6263473999999992E-2</v>
      </c>
      <c r="BB11" s="15">
        <f t="shared" si="13"/>
        <v>4.8993018965999988E-2</v>
      </c>
      <c r="BC11" s="15">
        <f t="shared" si="14"/>
        <v>2.504554485074058</v>
      </c>
      <c r="BD11" s="15"/>
      <c r="BE11" s="15">
        <v>-1</v>
      </c>
      <c r="BF11" s="15">
        <f t="shared" si="15"/>
        <v>4.6263473999999992E-2</v>
      </c>
      <c r="BG11" s="15">
        <f t="shared" si="16"/>
        <v>4.8993018965999988E-2</v>
      </c>
      <c r="BH11" s="15">
        <f t="shared" si="17"/>
        <v>5.1491662933265986E-2</v>
      </c>
      <c r="BI11" s="15">
        <f t="shared" si="18"/>
        <v>5.4066246079929291E-2</v>
      </c>
      <c r="BJ11" s="15">
        <f t="shared" si="19"/>
        <v>5.6228895923126465E-2</v>
      </c>
      <c r="BK11" s="15">
        <f t="shared" si="20"/>
        <v>1.5907529515958634</v>
      </c>
      <c r="BM11" s="25">
        <v>0.33</v>
      </c>
      <c r="BN11" s="50">
        <f t="shared" si="37"/>
        <v>5.7500000000000002E-2</v>
      </c>
      <c r="BO11" s="26">
        <v>5.7500000000000002E-2</v>
      </c>
      <c r="BP11" s="26">
        <v>6.0000000000000005E-2</v>
      </c>
      <c r="BQ11" s="26">
        <v>5.5E-2</v>
      </c>
      <c r="BR11" s="26">
        <v>0.01</v>
      </c>
      <c r="BS11" s="26">
        <v>1.2500000000000001E-2</v>
      </c>
      <c r="BU11">
        <f t="shared" si="21"/>
        <v>1</v>
      </c>
      <c r="BV11">
        <f t="shared" si="38"/>
        <v>9</v>
      </c>
      <c r="BW11" s="27">
        <v>0.05</v>
      </c>
      <c r="BX11" s="27">
        <v>0.15</v>
      </c>
      <c r="BY11" s="7"/>
      <c r="CB11">
        <f t="shared" si="22"/>
        <v>3</v>
      </c>
      <c r="CC11">
        <f t="shared" si="39"/>
        <v>9</v>
      </c>
      <c r="CD11" s="27">
        <v>0.05</v>
      </c>
      <c r="CE11" s="27">
        <v>0.15</v>
      </c>
      <c r="CJ11" s="50">
        <f t="shared" si="40"/>
        <v>3.4999999999999996E-2</v>
      </c>
      <c r="CK11" s="42">
        <v>3.4999999999999996E-2</v>
      </c>
      <c r="CL11" s="42">
        <v>3.7499999999999999E-2</v>
      </c>
      <c r="CM11" s="42">
        <v>3.2499999999999994E-2</v>
      </c>
      <c r="CN11" s="51">
        <f t="shared" si="41"/>
        <v>7.4999999999999997E-2</v>
      </c>
      <c r="CO11" s="51">
        <f t="shared" si="42"/>
        <v>7.4999999999999997E-2</v>
      </c>
      <c r="CP11" s="39">
        <f t="shared" si="23"/>
        <v>1.2372780597392654</v>
      </c>
      <c r="CQ11">
        <f t="shared" si="24"/>
        <v>4.6263473999999992E-2</v>
      </c>
      <c r="CR11">
        <f t="shared" si="25"/>
        <v>4.8993018965999988E-2</v>
      </c>
      <c r="CS11">
        <f t="shared" si="26"/>
        <v>5.1491662933265986E-2</v>
      </c>
      <c r="CT11">
        <f t="shared" si="27"/>
        <v>5.4066246079929291E-2</v>
      </c>
      <c r="CU11">
        <f t="shared" si="28"/>
        <v>5.6228895923126465E-2</v>
      </c>
      <c r="CV11">
        <f t="shared" si="29"/>
        <v>1.5907529515958634</v>
      </c>
      <c r="CY11" s="35">
        <f t="shared" si="43"/>
        <v>0.05</v>
      </c>
      <c r="CZ11" s="35">
        <f t="shared" si="44"/>
        <v>0.03</v>
      </c>
      <c r="DB11" s="6">
        <f t="shared" si="30"/>
        <v>2.4999999999999994E-2</v>
      </c>
      <c r="DC11" s="6">
        <f t="shared" si="45"/>
        <v>4.4999999999999998E-2</v>
      </c>
      <c r="DE11" s="6">
        <f t="shared" si="46"/>
        <v>3.0902348578491962E-2</v>
      </c>
      <c r="DF11" s="6">
        <f t="shared" si="47"/>
        <v>5.5624227441285541E-2</v>
      </c>
    </row>
    <row r="12" spans="1:110" x14ac:dyDescent="0.25">
      <c r="A12">
        <f t="shared" si="48"/>
        <v>10</v>
      </c>
      <c r="B12" s="1" t="s">
        <v>61</v>
      </c>
      <c r="C12" s="1" t="s">
        <v>71</v>
      </c>
      <c r="D12" s="3">
        <v>4.4999999999999998E-2</v>
      </c>
      <c r="E12" s="3">
        <v>0.13600000000000001</v>
      </c>
      <c r="F12" s="2">
        <f t="shared" si="31"/>
        <v>3.8879999999999998E-2</v>
      </c>
      <c r="G12" s="4"/>
      <c r="H12" s="2">
        <f t="shared" si="32"/>
        <v>3.0000000000000006E-2</v>
      </c>
      <c r="I12" s="2">
        <f t="shared" si="33"/>
        <v>4.0000000000000008E-2</v>
      </c>
      <c r="J12" s="6"/>
      <c r="K12" s="2">
        <f t="shared" si="49"/>
        <v>3.4722222222222231E-2</v>
      </c>
      <c r="L12" s="2">
        <f t="shared" si="50"/>
        <v>4.6296296296296308E-2</v>
      </c>
      <c r="M12" s="6"/>
      <c r="N12" s="2">
        <f t="shared" si="0"/>
        <v>4.8000000000000001E-2</v>
      </c>
      <c r="O12" s="2">
        <f t="shared" si="1"/>
        <v>4.8000000000000001E-2</v>
      </c>
      <c r="P12" s="2">
        <f t="shared" si="2"/>
        <v>4.9000000000000002E-2</v>
      </c>
      <c r="Q12" s="2">
        <f t="shared" si="3"/>
        <v>0.04</v>
      </c>
      <c r="R12" s="2">
        <f t="shared" si="4"/>
        <v>0.04</v>
      </c>
      <c r="S12" s="2">
        <f t="shared" si="5"/>
        <v>0.03</v>
      </c>
      <c r="T12" s="2" cm="1">
        <f t="array" ref="T12">+PRODUCT(1+N12:P12)^(0.333333333333333)-1</f>
        <v>4.8333227367448384E-2</v>
      </c>
      <c r="U12" s="12" cm="1">
        <f t="array" ref="U12">+PRODUCT(1+N12:S12)^(1/6)-1</f>
        <v>4.2478226158004562E-2</v>
      </c>
      <c r="V12" s="12"/>
      <c r="W12" s="12"/>
      <c r="X12" s="12"/>
      <c r="Y12" s="12"/>
      <c r="Z12" s="6">
        <f t="shared" si="6"/>
        <v>0.22870483501419048</v>
      </c>
      <c r="AA12" s="6">
        <f t="shared" si="34"/>
        <v>9.92075020878318E-2</v>
      </c>
      <c r="AB12" s="6"/>
      <c r="AC12" s="6">
        <f t="shared" si="7"/>
        <v>0.2769933782233211</v>
      </c>
      <c r="AD12" s="6">
        <f t="shared" si="8"/>
        <v>0.11097115652286128</v>
      </c>
      <c r="AE12" s="6"/>
      <c r="AF12" s="6">
        <f t="shared" si="9"/>
        <v>0.23620483501419048</v>
      </c>
      <c r="AG12" s="6">
        <f t="shared" si="35"/>
        <v>0.11847115652286128</v>
      </c>
      <c r="AH12" s="6"/>
      <c r="AI12" s="6">
        <f t="shared" si="10"/>
        <v>0.22370483501419047</v>
      </c>
      <c r="AJ12" s="6">
        <f t="shared" si="11"/>
        <v>0.10597115652286128</v>
      </c>
      <c r="AL12" s="3">
        <v>4.8000000000000001E-2</v>
      </c>
      <c r="AM12" s="3">
        <v>4.8000000000000001E-2</v>
      </c>
      <c r="AN12" s="3">
        <v>4.9000000000000002E-2</v>
      </c>
      <c r="AO12" s="3">
        <v>0.04</v>
      </c>
      <c r="AP12" s="3">
        <v>0.04</v>
      </c>
      <c r="AQ12" s="3">
        <v>0.03</v>
      </c>
      <c r="AR12" s="2" cm="1">
        <f t="array" ref="AR12">+PRODUCT(1+AL12:AN12)^(0.333333333333333)-1</f>
        <v>4.8333227367448384E-2</v>
      </c>
      <c r="AS12" s="12" cm="1">
        <f t="array" ref="AS12">+PRODUCT(1+AL12:AQ12)^(1/6)-1</f>
        <v>4.2478226158004562E-2</v>
      </c>
      <c r="AU12" s="3">
        <v>-3.6200000000000052E-3</v>
      </c>
      <c r="AV12" s="3">
        <v>-3.6200000000000052E-3</v>
      </c>
      <c r="AW12" s="40"/>
      <c r="AX12" s="42">
        <v>1.4999999999999999E-2</v>
      </c>
      <c r="AZ12" s="15">
        <f t="shared" si="36"/>
        <v>-1</v>
      </c>
      <c r="BA12" s="15">
        <f t="shared" si="12"/>
        <v>4.0746239999999996E-2</v>
      </c>
      <c r="BB12" s="15">
        <f t="shared" si="13"/>
        <v>4.2702059519999995E-2</v>
      </c>
      <c r="BC12" s="15">
        <f t="shared" si="14"/>
        <v>1.7410113622978556</v>
      </c>
      <c r="BD12" s="15"/>
      <c r="BE12" s="15">
        <v>-1</v>
      </c>
      <c r="BF12" s="15">
        <f t="shared" si="15"/>
        <v>4.0746239999999996E-2</v>
      </c>
      <c r="BG12" s="15">
        <f t="shared" si="16"/>
        <v>4.2702059519999995E-2</v>
      </c>
      <c r="BH12" s="15">
        <f t="shared" si="17"/>
        <v>4.4794460436479992E-2</v>
      </c>
      <c r="BI12" s="15">
        <f t="shared" si="18"/>
        <v>4.6586238853939192E-2</v>
      </c>
      <c r="BJ12" s="15">
        <f t="shared" si="19"/>
        <v>4.8449688408096762E-2</v>
      </c>
      <c r="BK12" s="15">
        <f t="shared" si="20"/>
        <v>1.4671534643739863</v>
      </c>
      <c r="BM12" s="25">
        <v>0.22</v>
      </c>
      <c r="BN12" s="50">
        <f t="shared" si="37"/>
        <v>5.7500000000000002E-2</v>
      </c>
      <c r="BO12" s="26">
        <v>5.7500000000000002E-2</v>
      </c>
      <c r="BP12" s="26">
        <v>6.0000000000000005E-2</v>
      </c>
      <c r="BQ12" s="26">
        <v>5.5E-2</v>
      </c>
      <c r="BR12" s="26">
        <v>7.4999999999999997E-3</v>
      </c>
      <c r="BS12" s="26">
        <v>1.2500000000000001E-2</v>
      </c>
      <c r="BU12">
        <f t="shared" si="21"/>
        <v>5</v>
      </c>
      <c r="BV12">
        <f t="shared" si="38"/>
        <v>10</v>
      </c>
      <c r="BW12" s="27">
        <v>0.05</v>
      </c>
      <c r="BX12" s="27">
        <v>0.15</v>
      </c>
      <c r="BY12" s="7"/>
      <c r="CB12">
        <f t="shared" si="22"/>
        <v>6</v>
      </c>
      <c r="CC12">
        <f t="shared" si="39"/>
        <v>10</v>
      </c>
      <c r="CD12" s="27">
        <v>0.05</v>
      </c>
      <c r="CE12" s="27">
        <v>0.15</v>
      </c>
      <c r="CJ12" s="50">
        <f t="shared" si="40"/>
        <v>3.0000000000000006E-2</v>
      </c>
      <c r="CK12" s="42">
        <v>3.0000000000000006E-2</v>
      </c>
      <c r="CL12" s="42">
        <v>3.2500000000000008E-2</v>
      </c>
      <c r="CM12" s="42">
        <v>2.7500000000000007E-2</v>
      </c>
      <c r="CN12" s="51">
        <f t="shared" si="41"/>
        <v>7.0000000000000007E-2</v>
      </c>
      <c r="CO12" s="51">
        <f t="shared" si="42"/>
        <v>7.0000000000000007E-2</v>
      </c>
      <c r="CP12" s="39">
        <f t="shared" si="23"/>
        <v>1.1596545325787044</v>
      </c>
      <c r="CQ12">
        <f t="shared" si="24"/>
        <v>4.0746239999999996E-2</v>
      </c>
      <c r="CR12">
        <f t="shared" si="25"/>
        <v>4.2702059519999995E-2</v>
      </c>
      <c r="CS12">
        <f t="shared" si="26"/>
        <v>4.4794460436479992E-2</v>
      </c>
      <c r="CT12">
        <f t="shared" si="27"/>
        <v>4.6586238853939192E-2</v>
      </c>
      <c r="CU12">
        <f t="shared" si="28"/>
        <v>4.8449688408096762E-2</v>
      </c>
      <c r="CV12">
        <f t="shared" si="29"/>
        <v>1.4671534643739863</v>
      </c>
      <c r="CY12" s="35">
        <f t="shared" si="43"/>
        <v>0.04</v>
      </c>
      <c r="CZ12" s="35">
        <f t="shared" si="44"/>
        <v>0.03</v>
      </c>
      <c r="DB12" s="6">
        <f t="shared" si="30"/>
        <v>3.0000000000000006E-2</v>
      </c>
      <c r="DC12" s="6">
        <f t="shared" si="45"/>
        <v>4.0000000000000008E-2</v>
      </c>
      <c r="DE12" s="6">
        <f t="shared" si="46"/>
        <v>3.4722222222222231E-2</v>
      </c>
      <c r="DF12" s="6">
        <f t="shared" si="47"/>
        <v>4.6296296296296308E-2</v>
      </c>
    </row>
    <row r="13" spans="1:110" x14ac:dyDescent="0.25">
      <c r="A13">
        <f t="shared" si="48"/>
        <v>11</v>
      </c>
      <c r="B13" s="1" t="s">
        <v>61</v>
      </c>
      <c r="C13" s="1" t="s">
        <v>72</v>
      </c>
      <c r="D13" s="3">
        <v>3.7999999999999999E-2</v>
      </c>
      <c r="E13" s="3">
        <v>0.17</v>
      </c>
      <c r="F13" s="2">
        <f t="shared" si="31"/>
        <v>3.1539999999999999E-2</v>
      </c>
      <c r="G13" s="4"/>
      <c r="H13" s="2">
        <f t="shared" si="32"/>
        <v>3.4999999999999996E-2</v>
      </c>
      <c r="I13" s="2">
        <f t="shared" si="33"/>
        <v>5.4999999999999993E-2</v>
      </c>
      <c r="J13" s="6"/>
      <c r="K13" s="2">
        <f t="shared" si="49"/>
        <v>4.2168674698795178E-2</v>
      </c>
      <c r="L13" s="2">
        <f t="shared" si="50"/>
        <v>6.6265060240963847E-2</v>
      </c>
      <c r="M13" s="6"/>
      <c r="N13" s="2">
        <f t="shared" si="0"/>
        <v>0.1</v>
      </c>
      <c r="O13" s="2">
        <f t="shared" si="1"/>
        <v>0.08</v>
      </c>
      <c r="P13" s="2">
        <f t="shared" si="2"/>
        <v>0.05</v>
      </c>
      <c r="Q13" s="2">
        <f t="shared" si="3"/>
        <v>0.04</v>
      </c>
      <c r="R13" s="2">
        <f t="shared" si="4"/>
        <v>0.03</v>
      </c>
      <c r="S13" s="2">
        <f t="shared" si="5"/>
        <v>0.02</v>
      </c>
      <c r="T13" s="2" cm="1">
        <f t="array" ref="T13">+PRODUCT(1+N13:P13)^(0.333333333333333)-1</f>
        <v>7.6469955893837982E-2</v>
      </c>
      <c r="U13" s="12" cm="1">
        <f t="array" ref="U13">+PRODUCT(1+N13:S13)^(1/6)-1</f>
        <v>5.2962115301692148E-2</v>
      </c>
      <c r="V13" s="12"/>
      <c r="W13" s="12"/>
      <c r="X13" s="12"/>
      <c r="Y13" s="12"/>
      <c r="Z13" s="6">
        <f t="shared" si="6"/>
        <v>0.12953342148941571</v>
      </c>
      <c r="AA13" s="6">
        <f t="shared" si="34"/>
        <v>2.611443863592422E-2</v>
      </c>
      <c r="AB13" s="6"/>
      <c r="AC13" s="6">
        <f t="shared" si="7"/>
        <v>0.15354456198588762</v>
      </c>
      <c r="AD13" s="6">
        <f t="shared" si="8"/>
        <v>1.565258484789896E-2</v>
      </c>
      <c r="AE13" s="6"/>
      <c r="AF13" s="6">
        <f t="shared" si="9"/>
        <v>0.13453342148941572</v>
      </c>
      <c r="AG13" s="6">
        <f t="shared" si="35"/>
        <v>2.0652584847898961E-2</v>
      </c>
      <c r="AH13" s="6"/>
      <c r="AI13" s="6">
        <f t="shared" si="10"/>
        <v>0.12203342148941572</v>
      </c>
      <c r="AJ13" s="6">
        <f t="shared" si="11"/>
        <v>8.1525848478989603E-3</v>
      </c>
      <c r="AL13" s="3">
        <v>0.1</v>
      </c>
      <c r="AM13" s="3">
        <v>0.08</v>
      </c>
      <c r="AN13" s="3">
        <v>0.05</v>
      </c>
      <c r="AO13" s="3">
        <v>0.04</v>
      </c>
      <c r="AP13" s="3">
        <v>0.03</v>
      </c>
      <c r="AQ13" s="3">
        <v>0.02</v>
      </c>
      <c r="AR13" s="2" cm="1">
        <f t="array" ref="AR13">+PRODUCT(1+AL13:AN13)^(0.333333333333333)-1</f>
        <v>7.6469955893837982E-2</v>
      </c>
      <c r="AS13" s="12" cm="1">
        <f t="array" ref="AS13">+PRODUCT(1+AL13:AQ13)^(1/6)-1</f>
        <v>5.2962115301692148E-2</v>
      </c>
      <c r="AU13" s="3">
        <v>-8.4600000000000022E-3</v>
      </c>
      <c r="AV13" s="3">
        <v>-4.0000000000000001E-3</v>
      </c>
      <c r="AW13" s="40"/>
      <c r="AX13" s="42">
        <v>1.4999999999999999E-2</v>
      </c>
      <c r="AZ13" s="15">
        <f t="shared" si="36"/>
        <v>-1</v>
      </c>
      <c r="BA13" s="15">
        <f t="shared" si="12"/>
        <v>3.4694000000000003E-2</v>
      </c>
      <c r="BB13" s="15">
        <f t="shared" si="13"/>
        <v>3.7469520000000006E-2</v>
      </c>
      <c r="BC13" s="15">
        <f t="shared" si="14"/>
        <v>1.3545231480000002</v>
      </c>
      <c r="BD13" s="15"/>
      <c r="BE13" s="15">
        <v>-1</v>
      </c>
      <c r="BF13" s="15">
        <f t="shared" si="15"/>
        <v>3.4694000000000003E-2</v>
      </c>
      <c r="BG13" s="15">
        <f t="shared" si="16"/>
        <v>3.7469520000000006E-2</v>
      </c>
      <c r="BH13" s="15">
        <f t="shared" si="17"/>
        <v>3.9342996000000005E-2</v>
      </c>
      <c r="BI13" s="15">
        <f t="shared" si="18"/>
        <v>4.0916715840000006E-2</v>
      </c>
      <c r="BJ13" s="15">
        <f t="shared" si="19"/>
        <v>4.214421731520001E-2</v>
      </c>
      <c r="BK13" s="15">
        <f t="shared" si="20"/>
        <v>0.95743999155168025</v>
      </c>
      <c r="BM13" s="25">
        <v>0.25</v>
      </c>
      <c r="BN13" s="50">
        <f t="shared" si="37"/>
        <v>5.7500000000000002E-2</v>
      </c>
      <c r="BO13" s="26">
        <v>5.7500000000000002E-2</v>
      </c>
      <c r="BP13" s="26">
        <v>6.0000000000000005E-2</v>
      </c>
      <c r="BQ13" s="26">
        <v>5.5E-2</v>
      </c>
      <c r="BR13" s="26">
        <v>5.0000000000000001E-3</v>
      </c>
      <c r="BS13" s="26">
        <v>1.2500000000000001E-2</v>
      </c>
      <c r="BU13">
        <f t="shared" si="21"/>
        <v>11</v>
      </c>
      <c r="BV13">
        <f t="shared" si="38"/>
        <v>11</v>
      </c>
      <c r="BW13" s="27">
        <v>0.02</v>
      </c>
      <c r="BX13" s="27">
        <v>0.1</v>
      </c>
      <c r="BY13" s="7"/>
      <c r="CB13">
        <f t="shared" si="22"/>
        <v>16</v>
      </c>
      <c r="CC13">
        <f t="shared" si="39"/>
        <v>11</v>
      </c>
      <c r="CD13" s="27">
        <v>0.02</v>
      </c>
      <c r="CE13" s="27">
        <v>0.1</v>
      </c>
      <c r="CJ13" s="50">
        <f t="shared" si="40"/>
        <v>3.4999999999999996E-2</v>
      </c>
      <c r="CK13" s="42">
        <v>3.4999999999999996E-2</v>
      </c>
      <c r="CL13" s="42">
        <v>3.7499999999999999E-2</v>
      </c>
      <c r="CM13" s="42">
        <v>3.2499999999999994E-2</v>
      </c>
      <c r="CN13" s="51">
        <f t="shared" si="41"/>
        <v>7.4999999999999997E-2</v>
      </c>
      <c r="CO13" s="51">
        <f t="shared" si="42"/>
        <v>7.4999999999999997E-2</v>
      </c>
      <c r="CP13" s="39">
        <f t="shared" si="23"/>
        <v>0.77674529409620396</v>
      </c>
      <c r="CQ13">
        <f t="shared" si="24"/>
        <v>3.4694000000000003E-2</v>
      </c>
      <c r="CR13">
        <f t="shared" si="25"/>
        <v>3.7469520000000006E-2</v>
      </c>
      <c r="CS13">
        <f t="shared" si="26"/>
        <v>3.9342996000000005E-2</v>
      </c>
      <c r="CT13">
        <f t="shared" si="27"/>
        <v>4.0916715840000006E-2</v>
      </c>
      <c r="CU13">
        <f t="shared" si="28"/>
        <v>4.214421731520001E-2</v>
      </c>
      <c r="CV13">
        <f t="shared" si="29"/>
        <v>0.95743999155168025</v>
      </c>
      <c r="CY13" s="35">
        <f t="shared" si="43"/>
        <v>0.04</v>
      </c>
      <c r="CZ13" s="35">
        <f t="shared" si="44"/>
        <v>0.02</v>
      </c>
      <c r="DB13" s="6">
        <f t="shared" si="30"/>
        <v>3.4999999999999996E-2</v>
      </c>
      <c r="DC13" s="6">
        <f t="shared" si="45"/>
        <v>5.4999999999999993E-2</v>
      </c>
      <c r="DE13" s="6">
        <f t="shared" si="46"/>
        <v>4.2168674698795178E-2</v>
      </c>
      <c r="DF13" s="6">
        <f t="shared" si="47"/>
        <v>6.6265060240963847E-2</v>
      </c>
    </row>
    <row r="14" spans="1:110" x14ac:dyDescent="0.25">
      <c r="A14">
        <f t="shared" si="48"/>
        <v>12</v>
      </c>
      <c r="B14" s="1" t="s">
        <v>61</v>
      </c>
      <c r="C14" s="1" t="s">
        <v>73</v>
      </c>
      <c r="D14" s="3">
        <v>5.1999999999999998E-2</v>
      </c>
      <c r="E14" s="3">
        <v>0.23</v>
      </c>
      <c r="F14" s="2">
        <f t="shared" si="31"/>
        <v>4.0039999999999999E-2</v>
      </c>
      <c r="G14" s="4"/>
      <c r="H14" s="2">
        <f t="shared" si="32"/>
        <v>3.0000000000000006E-2</v>
      </c>
      <c r="I14" s="2">
        <f t="shared" si="33"/>
        <v>4.0000000000000008E-2</v>
      </c>
      <c r="J14" s="6"/>
      <c r="K14" s="2">
        <f t="shared" si="49"/>
        <v>3.8961038961038967E-2</v>
      </c>
      <c r="L14" s="2">
        <f t="shared" si="50"/>
        <v>5.1948051948051958E-2</v>
      </c>
      <c r="M14" s="6"/>
      <c r="N14" s="2">
        <f t="shared" si="0"/>
        <v>8.5000000000000006E-2</v>
      </c>
      <c r="O14" s="2">
        <f t="shared" si="1"/>
        <v>6.0999999999999999E-2</v>
      </c>
      <c r="P14" s="2">
        <f t="shared" si="2"/>
        <v>5.0999999999999997E-2</v>
      </c>
      <c r="Q14" s="2">
        <f t="shared" si="3"/>
        <v>0.04</v>
      </c>
      <c r="R14" s="2">
        <f t="shared" si="4"/>
        <v>0.04</v>
      </c>
      <c r="S14" s="2">
        <f t="shared" si="5"/>
        <v>0.03</v>
      </c>
      <c r="T14" s="2" cm="1">
        <f t="array" ref="T14">+PRODUCT(1+N14:P14)^(0.333333333333333)-1</f>
        <v>6.557154037329993E-2</v>
      </c>
      <c r="U14" s="12" cm="1">
        <f t="array" ref="U14">+PRODUCT(1+N14:S14)^(1/6)-1</f>
        <v>5.101429644705413E-2</v>
      </c>
      <c r="V14" s="12"/>
      <c r="W14" s="12"/>
      <c r="X14" s="12"/>
      <c r="Y14" s="12"/>
      <c r="Z14" s="6">
        <f t="shared" si="6"/>
        <v>0.2940667795188836</v>
      </c>
      <c r="AA14" s="6">
        <f t="shared" si="34"/>
        <v>0.12802797333352589</v>
      </c>
      <c r="AB14" s="6"/>
      <c r="AC14" s="6">
        <f t="shared" si="7"/>
        <v>0.4214488915675132</v>
      </c>
      <c r="AD14" s="6">
        <f t="shared" si="8"/>
        <v>0.1660045743592706</v>
      </c>
      <c r="AE14" s="6"/>
      <c r="AF14" s="6">
        <f t="shared" si="9"/>
        <v>0.29906677951888361</v>
      </c>
      <c r="AG14" s="6">
        <f t="shared" si="35"/>
        <v>0.17100457435927061</v>
      </c>
      <c r="AH14" s="6"/>
      <c r="AI14" s="6">
        <f t="shared" si="10"/>
        <v>0.2865667795188836</v>
      </c>
      <c r="AJ14" s="6">
        <f t="shared" si="11"/>
        <v>0.15850457435927059</v>
      </c>
      <c r="AL14" s="3">
        <v>8.5000000000000006E-2</v>
      </c>
      <c r="AM14" s="3">
        <v>6.0999999999999999E-2</v>
      </c>
      <c r="AN14" s="3">
        <v>5.0999999999999997E-2</v>
      </c>
      <c r="AO14" s="3">
        <v>0.04</v>
      </c>
      <c r="AP14" s="3">
        <v>0.04</v>
      </c>
      <c r="AQ14" s="3">
        <v>0.03</v>
      </c>
      <c r="AR14" s="2" cm="1">
        <f t="array" ref="AR14">+PRODUCT(1+AL14:AN14)^(0.333333333333333)-1</f>
        <v>6.557154037329993E-2</v>
      </c>
      <c r="AS14" s="12" cm="1">
        <f t="array" ref="AS14">+PRODUCT(1+AL14:AQ14)^(1/6)-1</f>
        <v>5.101429644705413E-2</v>
      </c>
      <c r="AU14" s="3">
        <v>3.999999999999837E-5</v>
      </c>
      <c r="AV14" s="3">
        <v>3.999999999999837E-5</v>
      </c>
      <c r="AW14" s="40"/>
      <c r="AX14" s="42">
        <v>1.2500000000000001E-2</v>
      </c>
      <c r="AZ14" s="15">
        <f t="shared" si="36"/>
        <v>-1</v>
      </c>
      <c r="BA14" s="15">
        <f t="shared" si="12"/>
        <v>4.34434E-2</v>
      </c>
      <c r="BB14" s="15">
        <f t="shared" si="13"/>
        <v>4.6093447400000001E-2</v>
      </c>
      <c r="BC14" s="15">
        <f t="shared" si="14"/>
        <v>2.0346569551307998</v>
      </c>
      <c r="BD14" s="15"/>
      <c r="BE14" s="15">
        <v>-1</v>
      </c>
      <c r="BF14" s="15">
        <f t="shared" si="15"/>
        <v>4.34434E-2</v>
      </c>
      <c r="BG14" s="15">
        <f t="shared" si="16"/>
        <v>4.6093447400000001E-2</v>
      </c>
      <c r="BH14" s="15">
        <f t="shared" si="17"/>
        <v>4.8444213217400001E-2</v>
      </c>
      <c r="BI14" s="15">
        <f t="shared" si="18"/>
        <v>5.0381981746096004E-2</v>
      </c>
      <c r="BJ14" s="15">
        <f t="shared" si="19"/>
        <v>5.2397261015939847E-2</v>
      </c>
      <c r="BK14" s="15">
        <f t="shared" si="20"/>
        <v>1.7135214283737727</v>
      </c>
      <c r="BM14" s="25">
        <v>0.35</v>
      </c>
      <c r="BN14" s="50">
        <f t="shared" si="37"/>
        <v>5.7500000000000002E-2</v>
      </c>
      <c r="BO14" s="26">
        <v>5.7500000000000002E-2</v>
      </c>
      <c r="BP14" s="26">
        <v>6.0000000000000005E-2</v>
      </c>
      <c r="BQ14" s="26">
        <v>5.5E-2</v>
      </c>
      <c r="BR14" s="26">
        <v>5.0000000000000001E-3</v>
      </c>
      <c r="BS14" s="26">
        <v>1.2500000000000001E-2</v>
      </c>
      <c r="BU14">
        <f t="shared" si="21"/>
        <v>2</v>
      </c>
      <c r="BV14">
        <f t="shared" si="38"/>
        <v>12</v>
      </c>
      <c r="BW14" s="27">
        <v>0.02</v>
      </c>
      <c r="BX14" s="27">
        <v>0.1</v>
      </c>
      <c r="BY14" s="7"/>
      <c r="CB14">
        <f t="shared" si="22"/>
        <v>2</v>
      </c>
      <c r="CC14">
        <f t="shared" si="39"/>
        <v>12</v>
      </c>
      <c r="CD14" s="27">
        <v>0.02</v>
      </c>
      <c r="CE14" s="27">
        <v>0.1</v>
      </c>
      <c r="CJ14" s="50">
        <f t="shared" si="40"/>
        <v>3.0000000000000006E-2</v>
      </c>
      <c r="CK14" s="42">
        <v>3.0000000000000006E-2</v>
      </c>
      <c r="CL14" s="42">
        <v>3.2500000000000008E-2</v>
      </c>
      <c r="CM14" s="42">
        <v>2.7500000000000007E-2</v>
      </c>
      <c r="CN14" s="51">
        <f t="shared" si="41"/>
        <v>7.0000000000000007E-2</v>
      </c>
      <c r="CO14" s="51">
        <f t="shared" si="42"/>
        <v>7.0000000000000007E-2</v>
      </c>
      <c r="CP14" s="39">
        <f t="shared" si="23"/>
        <v>1.3379923936215627</v>
      </c>
      <c r="CQ14">
        <f t="shared" si="24"/>
        <v>4.34434E-2</v>
      </c>
      <c r="CR14">
        <f t="shared" si="25"/>
        <v>4.6093447400000001E-2</v>
      </c>
      <c r="CS14">
        <f t="shared" si="26"/>
        <v>4.8444213217400001E-2</v>
      </c>
      <c r="CT14">
        <f t="shared" si="27"/>
        <v>5.0381981746096004E-2</v>
      </c>
      <c r="CU14">
        <f t="shared" si="28"/>
        <v>5.2397261015939847E-2</v>
      </c>
      <c r="CV14">
        <f t="shared" si="29"/>
        <v>1.7135214283737727</v>
      </c>
      <c r="CY14" s="35">
        <f t="shared" si="43"/>
        <v>0.04</v>
      </c>
      <c r="CZ14" s="35">
        <f t="shared" si="44"/>
        <v>0.03</v>
      </c>
      <c r="DB14" s="6">
        <f t="shared" si="30"/>
        <v>3.0000000000000006E-2</v>
      </c>
      <c r="DC14" s="6">
        <f t="shared" si="45"/>
        <v>4.0000000000000008E-2</v>
      </c>
      <c r="DE14" s="6">
        <f t="shared" si="46"/>
        <v>3.8961038961038967E-2</v>
      </c>
      <c r="DF14" s="6">
        <f t="shared" si="47"/>
        <v>5.1948051948051958E-2</v>
      </c>
    </row>
    <row r="15" spans="1:110" x14ac:dyDescent="0.25">
      <c r="A15">
        <f t="shared" si="48"/>
        <v>13</v>
      </c>
      <c r="B15" s="1" t="s">
        <v>61</v>
      </c>
      <c r="C15" s="1" t="s">
        <v>74</v>
      </c>
      <c r="D15" s="3">
        <v>5.7500000000000002E-2</v>
      </c>
      <c r="E15" s="3">
        <v>0.11</v>
      </c>
      <c r="F15" s="2">
        <f t="shared" si="31"/>
        <v>5.1175000000000005E-2</v>
      </c>
      <c r="G15" s="4"/>
      <c r="H15" s="2">
        <f t="shared" si="32"/>
        <v>4.5000000000000005E-2</v>
      </c>
      <c r="I15" s="2">
        <f t="shared" si="33"/>
        <v>0.05</v>
      </c>
      <c r="J15" s="6"/>
      <c r="K15" s="2">
        <f t="shared" si="49"/>
        <v>5.0561797752808994E-2</v>
      </c>
      <c r="L15" s="2">
        <f t="shared" si="50"/>
        <v>5.6179775280898882E-2</v>
      </c>
      <c r="M15" s="6"/>
      <c r="N15" s="2">
        <f t="shared" si="0"/>
        <v>0.03</v>
      </c>
      <c r="O15" s="2">
        <f t="shared" si="1"/>
        <v>0.03</v>
      </c>
      <c r="P15" s="2">
        <f t="shared" si="2"/>
        <v>0.03</v>
      </c>
      <c r="Q15" s="2">
        <f t="shared" si="3"/>
        <v>2.5000000000000001E-2</v>
      </c>
      <c r="R15" s="2">
        <f t="shared" si="4"/>
        <v>2.5000000000000001E-2</v>
      </c>
      <c r="S15" s="2">
        <f t="shared" si="5"/>
        <v>0.02</v>
      </c>
      <c r="T15" s="2" cm="1">
        <f t="array" ref="T15">+PRODUCT(1+N15:P15)^(0.333333333333333)-1</f>
        <v>3.0000000000000027E-2</v>
      </c>
      <c r="U15" s="12" cm="1">
        <f t="array" ref="U15">+PRODUCT(1+N15:S15)^(1/6)-1</f>
        <v>2.6659892279890851E-2</v>
      </c>
      <c r="V15" s="12"/>
      <c r="W15" s="12"/>
      <c r="X15" s="12"/>
      <c r="Y15" s="12"/>
      <c r="Z15" s="6">
        <f t="shared" si="6"/>
        <v>0.16214525169576444</v>
      </c>
      <c r="AA15" s="6">
        <f t="shared" si="34"/>
        <v>9.9011552623854415E-2</v>
      </c>
      <c r="AB15" s="6"/>
      <c r="AC15" s="6">
        <f t="shared" si="7"/>
        <v>0.20699321670823495</v>
      </c>
      <c r="AD15" s="6">
        <f t="shared" si="8"/>
        <v>0.11680221803407774</v>
      </c>
      <c r="AE15" s="6"/>
      <c r="AF15" s="6">
        <f t="shared" si="9"/>
        <v>0.16714525169576444</v>
      </c>
      <c r="AG15" s="6">
        <f t="shared" si="35"/>
        <v>0.12180221803407774</v>
      </c>
      <c r="AH15" s="6"/>
      <c r="AI15" s="6">
        <f t="shared" si="10"/>
        <v>0.15464525169576443</v>
      </c>
      <c r="AJ15" s="6">
        <f t="shared" si="11"/>
        <v>0.10930221803407775</v>
      </c>
      <c r="AL15" s="3">
        <v>0.03</v>
      </c>
      <c r="AM15" s="3">
        <v>0.03</v>
      </c>
      <c r="AN15" s="3">
        <v>0.03</v>
      </c>
      <c r="AO15" s="3">
        <v>2.5000000000000001E-2</v>
      </c>
      <c r="AP15" s="3">
        <v>2.5000000000000001E-2</v>
      </c>
      <c r="AQ15" s="3">
        <v>0.02</v>
      </c>
      <c r="AR15" s="2" cm="1">
        <f t="array" ref="AR15">+PRODUCT(1+AL15:AN15)^(0.333333333333333)-1</f>
        <v>3.0000000000000027E-2</v>
      </c>
      <c r="AS15" s="12" cm="1">
        <f t="array" ref="AS15">+PRODUCT(1+AL15:AQ15)^(1/6)-1</f>
        <v>2.6659892279890851E-2</v>
      </c>
      <c r="AU15" s="3">
        <v>1.1175000000000004E-2</v>
      </c>
      <c r="AV15" s="3">
        <v>1.1175000000000004E-2</v>
      </c>
      <c r="AW15" s="40"/>
      <c r="AX15" s="42">
        <v>1.4999999999999999E-2</v>
      </c>
      <c r="AZ15" s="15">
        <f t="shared" si="36"/>
        <v>-1</v>
      </c>
      <c r="BA15" s="15">
        <f t="shared" si="12"/>
        <v>5.2710250000000007E-2</v>
      </c>
      <c r="BB15" s="15">
        <f t="shared" si="13"/>
        <v>5.4291557500000011E-2</v>
      </c>
      <c r="BC15" s="15">
        <f t="shared" si="14"/>
        <v>1.4352878084416671</v>
      </c>
      <c r="BD15" s="15"/>
      <c r="BE15" s="15">
        <v>-1</v>
      </c>
      <c r="BF15" s="15">
        <f t="shared" si="15"/>
        <v>5.2710250000000007E-2</v>
      </c>
      <c r="BG15" s="15">
        <f t="shared" si="16"/>
        <v>5.4291557500000011E-2</v>
      </c>
      <c r="BH15" s="15">
        <f t="shared" si="17"/>
        <v>5.5920304225000016E-2</v>
      </c>
      <c r="BI15" s="15">
        <f t="shared" si="18"/>
        <v>5.731831183062501E-2</v>
      </c>
      <c r="BJ15" s="15">
        <f t="shared" si="19"/>
        <v>5.8751269626390629E-2</v>
      </c>
      <c r="BK15" s="15">
        <f t="shared" si="20"/>
        <v>1.3902900444389079</v>
      </c>
      <c r="BM15" s="25">
        <v>0.3</v>
      </c>
      <c r="BN15" s="50">
        <f t="shared" si="37"/>
        <v>5.7500000000000002E-2</v>
      </c>
      <c r="BO15" s="26">
        <v>5.7500000000000002E-2</v>
      </c>
      <c r="BP15" s="26">
        <v>6.0000000000000005E-2</v>
      </c>
      <c r="BQ15" s="26">
        <v>5.5E-2</v>
      </c>
      <c r="BR15" s="26">
        <v>5.0000000000000001E-3</v>
      </c>
      <c r="BS15" s="26">
        <v>1.2500000000000001E-2</v>
      </c>
      <c r="BU15">
        <f t="shared" si="21"/>
        <v>7</v>
      </c>
      <c r="BV15">
        <f t="shared" si="38"/>
        <v>13</v>
      </c>
      <c r="BW15" s="27">
        <v>0.02</v>
      </c>
      <c r="BX15" s="27">
        <v>0.1</v>
      </c>
      <c r="BY15" s="7"/>
      <c r="CB15">
        <f t="shared" si="22"/>
        <v>5</v>
      </c>
      <c r="CC15">
        <f t="shared" si="39"/>
        <v>13</v>
      </c>
      <c r="CD15" s="27">
        <v>0.02</v>
      </c>
      <c r="CE15" s="27">
        <v>0.1</v>
      </c>
      <c r="CJ15" s="50">
        <f t="shared" si="40"/>
        <v>3.0000000000000006E-2</v>
      </c>
      <c r="CK15" s="42">
        <v>3.0000000000000006E-2</v>
      </c>
      <c r="CL15" s="42">
        <v>3.2500000000000008E-2</v>
      </c>
      <c r="CM15" s="42">
        <v>2.7500000000000007E-2</v>
      </c>
      <c r="CN15" s="51">
        <f t="shared" si="41"/>
        <v>7.0000000000000007E-2</v>
      </c>
      <c r="CO15" s="51">
        <f t="shared" si="42"/>
        <v>7.0000000000000007E-2</v>
      </c>
      <c r="CP15" s="39">
        <f t="shared" si="23"/>
        <v>1.154355559330926</v>
      </c>
      <c r="CQ15">
        <f t="shared" si="24"/>
        <v>5.2710250000000007E-2</v>
      </c>
      <c r="CR15">
        <f t="shared" si="25"/>
        <v>5.4291557500000011E-2</v>
      </c>
      <c r="CS15">
        <f t="shared" si="26"/>
        <v>5.5920304225000016E-2</v>
      </c>
      <c r="CT15">
        <f t="shared" si="27"/>
        <v>5.731831183062501E-2</v>
      </c>
      <c r="CU15">
        <f t="shared" si="28"/>
        <v>5.8751269626390629E-2</v>
      </c>
      <c r="CV15">
        <f t="shared" si="29"/>
        <v>1.3902900444389079</v>
      </c>
      <c r="CY15" s="35">
        <f t="shared" si="43"/>
        <v>2.5000000000000001E-2</v>
      </c>
      <c r="CZ15" s="35">
        <f t="shared" si="44"/>
        <v>0.02</v>
      </c>
      <c r="DB15" s="6">
        <f t="shared" si="30"/>
        <v>4.5000000000000005E-2</v>
      </c>
      <c r="DC15" s="6">
        <f t="shared" si="45"/>
        <v>0.05</v>
      </c>
      <c r="DE15" s="6">
        <f t="shared" si="46"/>
        <v>5.0561797752808994E-2</v>
      </c>
      <c r="DF15" s="6">
        <f t="shared" si="47"/>
        <v>5.6179775280898882E-2</v>
      </c>
    </row>
    <row r="16" spans="1:110" x14ac:dyDescent="0.25">
      <c r="A16">
        <f t="shared" si="48"/>
        <v>14</v>
      </c>
      <c r="B16" s="1" t="s">
        <v>61</v>
      </c>
      <c r="C16" s="1" t="s">
        <v>75</v>
      </c>
      <c r="D16" s="3">
        <v>5.6000000000000001E-2</v>
      </c>
      <c r="E16" s="3">
        <v>7.0000000000000007E-2</v>
      </c>
      <c r="F16" s="2">
        <f t="shared" si="31"/>
        <v>5.2079999999999994E-2</v>
      </c>
      <c r="G16" s="4"/>
      <c r="H16" s="2">
        <f t="shared" si="32"/>
        <v>4.0000000000000008E-2</v>
      </c>
      <c r="I16" s="2">
        <f t="shared" si="33"/>
        <v>4.0000000000000008E-2</v>
      </c>
      <c r="J16" s="6"/>
      <c r="K16" s="2">
        <f t="shared" si="49"/>
        <v>4.3010752688172053E-2</v>
      </c>
      <c r="L16" s="2">
        <f t="shared" si="50"/>
        <v>4.3010752688172053E-2</v>
      </c>
      <c r="M16" s="6"/>
      <c r="N16" s="2">
        <f t="shared" si="0"/>
        <v>0.03</v>
      </c>
      <c r="O16" s="2">
        <f t="shared" si="1"/>
        <v>3.5000000000000003E-2</v>
      </c>
      <c r="P16" s="2">
        <f t="shared" si="2"/>
        <v>0.03</v>
      </c>
      <c r="Q16" s="2">
        <f t="shared" si="3"/>
        <v>0.03</v>
      </c>
      <c r="R16" s="2">
        <f t="shared" si="4"/>
        <v>0.03</v>
      </c>
      <c r="S16" s="2">
        <f t="shared" si="5"/>
        <v>0.03</v>
      </c>
      <c r="T16" s="2" cm="1">
        <f t="array" ref="T16">+PRODUCT(1+N16:P16)^(0.333333333333333)-1</f>
        <v>3.1663977044700253E-2</v>
      </c>
      <c r="U16" s="12" cm="1">
        <f t="array" ref="U16">+PRODUCT(1+N16:S16)^(1/6)-1</f>
        <v>3.0831652771703189E-2</v>
      </c>
      <c r="V16" s="12"/>
      <c r="W16" s="12"/>
      <c r="X16" s="12"/>
      <c r="Y16" s="12"/>
      <c r="Z16" s="6">
        <f t="shared" si="6"/>
        <v>0.20066842150681863</v>
      </c>
      <c r="AA16" s="6">
        <f t="shared" si="34"/>
        <v>0.13674553236164999</v>
      </c>
      <c r="AB16" s="6"/>
      <c r="AC16" s="6">
        <f t="shared" si="7"/>
        <v>0.26202631643831237</v>
      </c>
      <c r="AD16" s="6">
        <f t="shared" si="8"/>
        <v>0.17070790337378572</v>
      </c>
      <c r="AE16" s="6"/>
      <c r="AF16" s="6">
        <f t="shared" si="9"/>
        <v>0.20566842150681863</v>
      </c>
      <c r="AG16" s="6">
        <f t="shared" si="35"/>
        <v>0.17570790337378572</v>
      </c>
      <c r="AH16" s="6"/>
      <c r="AI16" s="6">
        <f t="shared" si="10"/>
        <v>0.19316842150681862</v>
      </c>
      <c r="AJ16" s="6">
        <f t="shared" si="11"/>
        <v>0.16320790337378571</v>
      </c>
      <c r="AL16" s="3">
        <v>0.03</v>
      </c>
      <c r="AM16" s="3">
        <v>3.5000000000000003E-2</v>
      </c>
      <c r="AN16" s="3">
        <v>0.03</v>
      </c>
      <c r="AO16" s="3">
        <v>0.03</v>
      </c>
      <c r="AP16" s="3">
        <v>0.03</v>
      </c>
      <c r="AQ16" s="3">
        <v>0.03</v>
      </c>
      <c r="AR16" s="2" cm="1">
        <f t="array" ref="AR16">+PRODUCT(1+AL16:AN16)^(0.333333333333333)-1</f>
        <v>3.1663977044700253E-2</v>
      </c>
      <c r="AS16" s="12" cm="1">
        <f t="array" ref="AS16">+PRODUCT(1+AL16:AQ16)^(1/6)-1</f>
        <v>3.0831652771703189E-2</v>
      </c>
      <c r="AU16" s="3">
        <v>1.2079999999999994E-2</v>
      </c>
      <c r="AV16" s="3">
        <v>1.2079999999999994E-2</v>
      </c>
      <c r="AW16" s="40"/>
      <c r="AX16" s="42">
        <v>0.01</v>
      </c>
      <c r="AZ16" s="15">
        <f t="shared" si="36"/>
        <v>-1</v>
      </c>
      <c r="BA16" s="15">
        <f t="shared" si="12"/>
        <v>5.3642399999999993E-2</v>
      </c>
      <c r="BB16" s="15">
        <f t="shared" si="13"/>
        <v>5.5519883999999992E-2</v>
      </c>
      <c r="BC16" s="15">
        <f t="shared" si="14"/>
        <v>1.5868970844299997</v>
      </c>
      <c r="BD16" s="15"/>
      <c r="BE16" s="15">
        <v>-1</v>
      </c>
      <c r="BF16" s="15">
        <f t="shared" si="15"/>
        <v>5.3642399999999993E-2</v>
      </c>
      <c r="BG16" s="15">
        <f t="shared" si="16"/>
        <v>5.5519883999999992E-2</v>
      </c>
      <c r="BH16" s="15">
        <f t="shared" si="17"/>
        <v>5.7185480519999991E-2</v>
      </c>
      <c r="BI16" s="15">
        <f t="shared" si="18"/>
        <v>5.8901044935599993E-2</v>
      </c>
      <c r="BJ16" s="15">
        <f t="shared" si="19"/>
        <v>6.0668076283667993E-2</v>
      </c>
      <c r="BK16" s="15">
        <f t="shared" si="20"/>
        <v>1.7340452903779402</v>
      </c>
      <c r="BM16" s="25">
        <v>0.3</v>
      </c>
      <c r="BN16" s="50">
        <f t="shared" si="37"/>
        <v>5.7500000000000002E-2</v>
      </c>
      <c r="BO16" s="26">
        <v>5.7500000000000002E-2</v>
      </c>
      <c r="BP16" s="26">
        <v>6.0000000000000005E-2</v>
      </c>
      <c r="BQ16" s="26">
        <v>5.5E-2</v>
      </c>
      <c r="BR16" s="26">
        <v>5.0000000000000001E-3</v>
      </c>
      <c r="BS16" s="26">
        <v>1.2500000000000001E-2</v>
      </c>
      <c r="BU16">
        <f t="shared" si="21"/>
        <v>6</v>
      </c>
      <c r="BV16">
        <f t="shared" si="38"/>
        <v>14</v>
      </c>
      <c r="BW16" s="27">
        <v>0.01</v>
      </c>
      <c r="BX16" s="27">
        <v>7.0000000000000007E-2</v>
      </c>
      <c r="BY16" s="7"/>
      <c r="CB16">
        <f t="shared" si="22"/>
        <v>1</v>
      </c>
      <c r="CC16">
        <f t="shared" si="39"/>
        <v>14</v>
      </c>
      <c r="CD16" s="27">
        <v>0.01</v>
      </c>
      <c r="CE16" s="27">
        <v>7.0000000000000007E-2</v>
      </c>
      <c r="CJ16" s="50">
        <f t="shared" si="40"/>
        <v>3.0000000000000006E-2</v>
      </c>
      <c r="CK16" s="42">
        <v>3.0000000000000006E-2</v>
      </c>
      <c r="CL16" s="42">
        <v>3.2500000000000008E-2</v>
      </c>
      <c r="CM16" s="42">
        <v>2.7500000000000007E-2</v>
      </c>
      <c r="CN16" s="51">
        <f t="shared" si="41"/>
        <v>7.0000000000000007E-2</v>
      </c>
      <c r="CO16" s="51">
        <f t="shared" si="42"/>
        <v>7.0000000000000007E-2</v>
      </c>
      <c r="CP16" s="39">
        <f t="shared" si="23"/>
        <v>1.3889651074055129</v>
      </c>
      <c r="CQ16">
        <f t="shared" si="24"/>
        <v>5.3642399999999993E-2</v>
      </c>
      <c r="CR16">
        <f t="shared" si="25"/>
        <v>5.5519883999999992E-2</v>
      </c>
      <c r="CS16">
        <f t="shared" si="26"/>
        <v>5.7185480519999991E-2</v>
      </c>
      <c r="CT16">
        <f t="shared" si="27"/>
        <v>5.8901044935599993E-2</v>
      </c>
      <c r="CU16">
        <f t="shared" si="28"/>
        <v>6.0668076283667993E-2</v>
      </c>
      <c r="CV16">
        <f t="shared" si="29"/>
        <v>1.7340452903779402</v>
      </c>
      <c r="CY16" s="35">
        <f t="shared" si="43"/>
        <v>0.03</v>
      </c>
      <c r="CZ16" s="35">
        <f t="shared" si="44"/>
        <v>0.03</v>
      </c>
      <c r="DB16" s="6">
        <f t="shared" si="30"/>
        <v>4.0000000000000008E-2</v>
      </c>
      <c r="DC16" s="6">
        <f t="shared" si="45"/>
        <v>4.0000000000000008E-2</v>
      </c>
      <c r="DE16" s="6">
        <f t="shared" si="46"/>
        <v>4.3010752688172053E-2</v>
      </c>
      <c r="DF16" s="6">
        <f t="shared" si="47"/>
        <v>4.3010752688172053E-2</v>
      </c>
    </row>
    <row r="17" spans="1:110" x14ac:dyDescent="0.25">
      <c r="A17">
        <f t="shared" si="48"/>
        <v>15</v>
      </c>
      <c r="B17" s="1" t="s">
        <v>61</v>
      </c>
      <c r="C17" s="1" t="s">
        <v>76</v>
      </c>
      <c r="D17" s="3">
        <v>0.04</v>
      </c>
      <c r="E17" s="3">
        <v>0.153</v>
      </c>
      <c r="F17" s="2">
        <f t="shared" si="31"/>
        <v>3.388E-2</v>
      </c>
      <c r="G17" s="4"/>
      <c r="H17" s="2">
        <f t="shared" si="32"/>
        <v>4.0000000000000008E-2</v>
      </c>
      <c r="I17" s="2">
        <f t="shared" si="33"/>
        <v>4.0000000000000008E-2</v>
      </c>
      <c r="J17" s="6"/>
      <c r="K17" s="2">
        <f t="shared" si="49"/>
        <v>4.722550177095633E-2</v>
      </c>
      <c r="L17" s="2">
        <f t="shared" si="50"/>
        <v>4.722550177095633E-2</v>
      </c>
      <c r="M17" s="6"/>
      <c r="N17" s="2">
        <f t="shared" si="0"/>
        <v>0.05</v>
      </c>
      <c r="O17" s="2">
        <f t="shared" si="1"/>
        <v>0.05</v>
      </c>
      <c r="P17" s="2">
        <f t="shared" si="2"/>
        <v>0.04</v>
      </c>
      <c r="Q17" s="2">
        <f t="shared" si="3"/>
        <v>0.03</v>
      </c>
      <c r="R17" s="2">
        <f t="shared" si="4"/>
        <v>0.03</v>
      </c>
      <c r="S17" s="2">
        <f t="shared" si="5"/>
        <v>0.03</v>
      </c>
      <c r="T17" s="2" cm="1">
        <f t="array" ref="T17">+PRODUCT(1+N17:P17)^(0.333333333333333)-1</f>
        <v>4.665602830862059E-2</v>
      </c>
      <c r="U17" s="12" cm="1">
        <f t="array" ref="U17">+PRODUCT(1+N17:S17)^(1/6)-1</f>
        <v>3.8294615780068098E-2</v>
      </c>
      <c r="V17" s="12"/>
      <c r="W17" s="12"/>
      <c r="X17" s="12"/>
      <c r="Y17" s="12"/>
      <c r="Z17" s="6">
        <f t="shared" si="6"/>
        <v>7.4275838152175755E-2</v>
      </c>
      <c r="AA17" s="6">
        <f t="shared" si="34"/>
        <v>7.0214694361485197E-2</v>
      </c>
      <c r="AB17" s="6"/>
      <c r="AC17" s="6">
        <f t="shared" si="7"/>
        <v>8.0480600208459929E-2</v>
      </c>
      <c r="AD17" s="6">
        <f t="shared" si="8"/>
        <v>7.491738953628109E-2</v>
      </c>
      <c r="AE17" s="6"/>
      <c r="AF17" s="6">
        <f t="shared" si="9"/>
        <v>7.9275838152175759E-2</v>
      </c>
      <c r="AG17" s="6">
        <f t="shared" si="35"/>
        <v>7.9917389536281094E-2</v>
      </c>
      <c r="AH17" s="6"/>
      <c r="AI17" s="6">
        <f t="shared" si="10"/>
        <v>6.6775838152175762E-2</v>
      </c>
      <c r="AJ17" s="6">
        <f t="shared" si="11"/>
        <v>6.7417389536281097E-2</v>
      </c>
      <c r="AL17" s="3">
        <v>0.05</v>
      </c>
      <c r="AM17" s="3">
        <v>0.05</v>
      </c>
      <c r="AN17" s="3">
        <v>0.04</v>
      </c>
      <c r="AO17" s="3">
        <v>0.03</v>
      </c>
      <c r="AP17" s="3">
        <v>0.03</v>
      </c>
      <c r="AQ17" s="3">
        <v>0.03</v>
      </c>
      <c r="AR17" s="2" cm="1">
        <f t="array" ref="AR17">+PRODUCT(1+AL17:AN17)^(0.333333333333333)-1</f>
        <v>4.665602830862059E-2</v>
      </c>
      <c r="AS17" s="12" cm="1">
        <f t="array" ref="AS17">+PRODUCT(1+AL17:AQ17)^(1/6)-1</f>
        <v>3.8294615780068098E-2</v>
      </c>
      <c r="AU17" s="3">
        <v>-6.1200000000000004E-3</v>
      </c>
      <c r="AV17" s="3">
        <v>-3.0000000000000001E-3</v>
      </c>
      <c r="AW17" s="40"/>
      <c r="AX17" s="42">
        <v>1.2500000000000001E-2</v>
      </c>
      <c r="AZ17" s="15">
        <f t="shared" si="36"/>
        <v>-1</v>
      </c>
      <c r="BA17" s="15">
        <f t="shared" si="12"/>
        <v>3.5574000000000001E-2</v>
      </c>
      <c r="BB17" s="15">
        <f t="shared" si="13"/>
        <v>3.7352700000000003E-2</v>
      </c>
      <c r="BC17" s="15">
        <f t="shared" si="14"/>
        <v>1.1586060485999998</v>
      </c>
      <c r="BD17" s="15"/>
      <c r="BE17" s="15">
        <v>-1</v>
      </c>
      <c r="BF17" s="15">
        <f t="shared" si="15"/>
        <v>3.5574000000000001E-2</v>
      </c>
      <c r="BG17" s="15">
        <f t="shared" si="16"/>
        <v>3.7352700000000003E-2</v>
      </c>
      <c r="BH17" s="15">
        <f t="shared" si="17"/>
        <v>3.8846808000000004E-2</v>
      </c>
      <c r="BI17" s="15">
        <f t="shared" si="18"/>
        <v>4.0012212240000004E-2</v>
      </c>
      <c r="BJ17" s="15">
        <f t="shared" si="19"/>
        <v>4.1212578607200005E-2</v>
      </c>
      <c r="BK17" s="15">
        <f t="shared" si="20"/>
        <v>1.2660401116685323</v>
      </c>
      <c r="BM17" s="25">
        <v>0.27</v>
      </c>
      <c r="BN17" s="50">
        <f t="shared" si="37"/>
        <v>5.7500000000000002E-2</v>
      </c>
      <c r="BO17" s="26">
        <v>5.7500000000000002E-2</v>
      </c>
      <c r="BP17" s="26">
        <v>6.0000000000000005E-2</v>
      </c>
      <c r="BQ17" s="26">
        <v>5.5E-2</v>
      </c>
      <c r="BR17" s="26">
        <v>5.0000000000000001E-3</v>
      </c>
      <c r="BS17" s="26">
        <v>1.2500000000000001E-2</v>
      </c>
      <c r="BU17">
        <f t="shared" si="21"/>
        <v>16</v>
      </c>
      <c r="BV17">
        <f t="shared" si="38"/>
        <v>15</v>
      </c>
      <c r="BW17" s="27">
        <v>0.01</v>
      </c>
      <c r="BX17" s="27">
        <v>7.0000000000000007E-2</v>
      </c>
      <c r="BY17" s="7"/>
      <c r="CB17">
        <f t="shared" si="22"/>
        <v>12</v>
      </c>
      <c r="CC17">
        <f t="shared" si="39"/>
        <v>15</v>
      </c>
      <c r="CD17" s="27">
        <v>0.01</v>
      </c>
      <c r="CE17" s="27">
        <v>7.0000000000000007E-2</v>
      </c>
      <c r="CJ17" s="50">
        <f t="shared" si="40"/>
        <v>3.0000000000000006E-2</v>
      </c>
      <c r="CK17" s="42">
        <v>3.0000000000000006E-2</v>
      </c>
      <c r="CL17" s="42">
        <v>3.2500000000000008E-2</v>
      </c>
      <c r="CM17" s="42">
        <v>2.7500000000000007E-2</v>
      </c>
      <c r="CN17" s="51">
        <f t="shared" si="41"/>
        <v>7.0000000000000007E-2</v>
      </c>
      <c r="CO17" s="51">
        <f t="shared" si="42"/>
        <v>7.0000000000000007E-2</v>
      </c>
      <c r="CP17" s="39">
        <f t="shared" si="23"/>
        <v>1.0011076982111788</v>
      </c>
      <c r="CQ17">
        <f t="shared" si="24"/>
        <v>3.5574000000000001E-2</v>
      </c>
      <c r="CR17">
        <f t="shared" si="25"/>
        <v>3.7352700000000003E-2</v>
      </c>
      <c r="CS17">
        <f t="shared" si="26"/>
        <v>3.8846808000000004E-2</v>
      </c>
      <c r="CT17">
        <f t="shared" si="27"/>
        <v>4.0012212240000004E-2</v>
      </c>
      <c r="CU17">
        <f t="shared" si="28"/>
        <v>4.1212578607200005E-2</v>
      </c>
      <c r="CV17">
        <f t="shared" si="29"/>
        <v>1.2660401116685323</v>
      </c>
      <c r="CY17" s="35">
        <f t="shared" si="43"/>
        <v>0.03</v>
      </c>
      <c r="CZ17" s="35">
        <f t="shared" si="44"/>
        <v>0.03</v>
      </c>
      <c r="DB17" s="6">
        <f t="shared" si="30"/>
        <v>4.0000000000000008E-2</v>
      </c>
      <c r="DC17" s="6">
        <f t="shared" si="45"/>
        <v>4.0000000000000008E-2</v>
      </c>
      <c r="DE17" s="6">
        <f t="shared" si="46"/>
        <v>4.722550177095633E-2</v>
      </c>
      <c r="DF17" s="6">
        <f t="shared" si="47"/>
        <v>4.722550177095633E-2</v>
      </c>
    </row>
    <row r="18" spans="1:110" x14ac:dyDescent="0.25">
      <c r="A18">
        <f t="shared" si="48"/>
        <v>16</v>
      </c>
      <c r="B18" s="1" t="s">
        <v>61</v>
      </c>
      <c r="C18" s="1" t="s">
        <v>77</v>
      </c>
      <c r="D18" s="3">
        <v>5.6000000000000001E-2</v>
      </c>
      <c r="E18" s="3">
        <v>0.13</v>
      </c>
      <c r="F18" s="2">
        <f t="shared" si="31"/>
        <v>4.8719999999999999E-2</v>
      </c>
      <c r="G18" s="4"/>
      <c r="H18" s="2">
        <f t="shared" si="32"/>
        <v>4.5000000000000005E-2</v>
      </c>
      <c r="I18" s="2">
        <f t="shared" si="33"/>
        <v>4.8000000000000008E-2</v>
      </c>
      <c r="J18" s="6"/>
      <c r="K18" s="2">
        <f t="shared" si="49"/>
        <v>5.1724137931034489E-2</v>
      </c>
      <c r="L18" s="2">
        <f t="shared" si="50"/>
        <v>5.5172413793103454E-2</v>
      </c>
      <c r="M18" s="6"/>
      <c r="N18" s="2">
        <f t="shared" si="0"/>
        <v>2.5000000000000001E-2</v>
      </c>
      <c r="O18" s="2">
        <f t="shared" si="1"/>
        <v>2.5000000000000001E-2</v>
      </c>
      <c r="P18" s="2">
        <f t="shared" si="2"/>
        <v>2.5000000000000001E-2</v>
      </c>
      <c r="Q18" s="2">
        <f t="shared" si="3"/>
        <v>2.5000000000000001E-2</v>
      </c>
      <c r="R18" s="2">
        <f t="shared" si="4"/>
        <v>2.3E-2</v>
      </c>
      <c r="S18" s="2">
        <f t="shared" si="5"/>
        <v>2.1999999999999999E-2</v>
      </c>
      <c r="T18" s="2" cm="1">
        <f t="array" ref="T18">+PRODUCT(1+N18:P18)^(0.333333333333333)-1</f>
        <v>2.4999999999999911E-2</v>
      </c>
      <c r="U18" s="12" cm="1">
        <f t="array" ref="U18">+PRODUCT(1+N18:S18)^(1/6)-1</f>
        <v>2.416594742417022E-2</v>
      </c>
      <c r="V18" s="12"/>
      <c r="W18" s="12"/>
      <c r="X18" s="12"/>
      <c r="Y18" s="12"/>
      <c r="Z18" s="6">
        <f t="shared" si="6"/>
        <v>0.14311315194121521</v>
      </c>
      <c r="AA18" s="6">
        <f t="shared" si="34"/>
        <v>9.522133708091296E-2</v>
      </c>
      <c r="AB18" s="6"/>
      <c r="AC18" s="6">
        <f t="shared" si="7"/>
        <v>0.17980450277316462</v>
      </c>
      <c r="AD18" s="6">
        <f t="shared" si="8"/>
        <v>0.11138762440130423</v>
      </c>
      <c r="AE18" s="6"/>
      <c r="AF18" s="6">
        <f t="shared" si="9"/>
        <v>0.14811315194121522</v>
      </c>
      <c r="AG18" s="6">
        <f t="shared" si="35"/>
        <v>0.11638762440130423</v>
      </c>
      <c r="AH18" s="6"/>
      <c r="AI18" s="6">
        <f t="shared" si="10"/>
        <v>0.1356131519412152</v>
      </c>
      <c r="AJ18" s="6">
        <f t="shared" si="11"/>
        <v>0.10388762440130424</v>
      </c>
      <c r="AL18" s="3">
        <v>2.5000000000000001E-2</v>
      </c>
      <c r="AM18" s="3">
        <v>2.5000000000000001E-2</v>
      </c>
      <c r="AN18" s="3">
        <v>2.5000000000000001E-2</v>
      </c>
      <c r="AO18" s="3">
        <v>2.5000000000000001E-2</v>
      </c>
      <c r="AP18" s="3">
        <v>2.3E-2</v>
      </c>
      <c r="AQ18" s="3">
        <v>2.1999999999999999E-2</v>
      </c>
      <c r="AR18" s="2" cm="1">
        <f t="array" ref="AR18">+PRODUCT(1+AL18:AN18)^(0.333333333333333)-1</f>
        <v>2.4999999999999911E-2</v>
      </c>
      <c r="AS18" s="12" cm="1">
        <f t="array" ref="AS18">+PRODUCT(1+AL18:AQ18)^(1/6)-1</f>
        <v>2.416594742417022E-2</v>
      </c>
      <c r="AU18" s="3">
        <v>8.7199999999999986E-3</v>
      </c>
      <c r="AV18" s="3">
        <v>8.7199999999999986E-3</v>
      </c>
      <c r="AW18" s="40"/>
      <c r="AX18" s="42">
        <v>1.4999999999999999E-2</v>
      </c>
      <c r="AZ18" s="15">
        <f t="shared" si="36"/>
        <v>-1</v>
      </c>
      <c r="BA18" s="15">
        <f t="shared" si="12"/>
        <v>4.9937999999999996E-2</v>
      </c>
      <c r="BB18" s="15">
        <f t="shared" si="13"/>
        <v>5.1186449999999994E-2</v>
      </c>
      <c r="BC18" s="15">
        <f t="shared" si="14"/>
        <v>1.3699484604166661</v>
      </c>
      <c r="BD18" s="15"/>
      <c r="BE18" s="15">
        <v>-1</v>
      </c>
      <c r="BF18" s="15">
        <f t="shared" si="15"/>
        <v>4.9937999999999996E-2</v>
      </c>
      <c r="BG18" s="15">
        <f t="shared" si="16"/>
        <v>5.1186449999999994E-2</v>
      </c>
      <c r="BH18" s="15">
        <f t="shared" si="17"/>
        <v>5.2466111249999989E-2</v>
      </c>
      <c r="BI18" s="15">
        <f t="shared" si="18"/>
        <v>5.3777764031249981E-2</v>
      </c>
      <c r="BJ18" s="15">
        <f t="shared" si="19"/>
        <v>5.5014652603968726E-2</v>
      </c>
      <c r="BK18" s="15">
        <f t="shared" si="20"/>
        <v>1.3798545938408249</v>
      </c>
      <c r="BM18" s="25">
        <v>0.3</v>
      </c>
      <c r="BN18" s="50">
        <f t="shared" si="37"/>
        <v>5.7500000000000002E-2</v>
      </c>
      <c r="BO18" s="26">
        <v>5.7500000000000002E-2</v>
      </c>
      <c r="BP18" s="26">
        <v>6.0000000000000005E-2</v>
      </c>
      <c r="BQ18" s="26">
        <v>5.5E-2</v>
      </c>
      <c r="BR18" s="26">
        <v>5.0000000000000001E-3</v>
      </c>
      <c r="BS18" s="26">
        <v>1.2500000000000001E-2</v>
      </c>
      <c r="BU18">
        <f t="shared" si="21"/>
        <v>10</v>
      </c>
      <c r="BV18">
        <f t="shared" si="38"/>
        <v>16</v>
      </c>
      <c r="BW18" s="27">
        <v>0.01</v>
      </c>
      <c r="BX18" s="27">
        <v>7.0000000000000007E-2</v>
      </c>
      <c r="BY18" s="7"/>
      <c r="CB18">
        <f t="shared" si="22"/>
        <v>8</v>
      </c>
      <c r="CC18">
        <f t="shared" si="39"/>
        <v>16</v>
      </c>
      <c r="CD18" s="27">
        <v>0.01</v>
      </c>
      <c r="CE18" s="27">
        <v>7.0000000000000007E-2</v>
      </c>
      <c r="CJ18" s="50">
        <f t="shared" si="40"/>
        <v>3.0000000000000006E-2</v>
      </c>
      <c r="CK18" s="42">
        <v>3.0000000000000006E-2</v>
      </c>
      <c r="CL18" s="42">
        <v>3.2500000000000008E-2</v>
      </c>
      <c r="CM18" s="42">
        <v>2.7500000000000007E-2</v>
      </c>
      <c r="CN18" s="51">
        <f t="shared" si="41"/>
        <v>7.0000000000000007E-2</v>
      </c>
      <c r="CO18" s="51">
        <f t="shared" si="42"/>
        <v>7.0000000000000007E-2</v>
      </c>
      <c r="CP18" s="39">
        <f t="shared" si="23"/>
        <v>1.1339140953254105</v>
      </c>
      <c r="CQ18">
        <f t="shared" si="24"/>
        <v>4.9937999999999996E-2</v>
      </c>
      <c r="CR18">
        <f t="shared" si="25"/>
        <v>5.1186449999999994E-2</v>
      </c>
      <c r="CS18">
        <f t="shared" si="26"/>
        <v>5.2466111249999989E-2</v>
      </c>
      <c r="CT18">
        <f t="shared" si="27"/>
        <v>5.3777764031249981E-2</v>
      </c>
      <c r="CU18">
        <f t="shared" si="28"/>
        <v>5.5014652603968726E-2</v>
      </c>
      <c r="CV18">
        <f t="shared" si="29"/>
        <v>1.3798545938408249</v>
      </c>
      <c r="CY18" s="35">
        <f t="shared" si="43"/>
        <v>2.5000000000000001E-2</v>
      </c>
      <c r="CZ18" s="35">
        <f t="shared" si="44"/>
        <v>2.1999999999999999E-2</v>
      </c>
      <c r="DB18" s="6">
        <f t="shared" si="30"/>
        <v>4.5000000000000005E-2</v>
      </c>
      <c r="DC18" s="6">
        <f t="shared" si="45"/>
        <v>4.8000000000000008E-2</v>
      </c>
      <c r="DE18" s="6">
        <f t="shared" si="46"/>
        <v>5.1724137931034489E-2</v>
      </c>
      <c r="DF18" s="6">
        <f t="shared" si="47"/>
        <v>5.5172413793103454E-2</v>
      </c>
    </row>
    <row r="19" spans="1:110" x14ac:dyDescent="0.25">
      <c r="A19">
        <f t="shared" si="48"/>
        <v>17</v>
      </c>
      <c r="B19" s="1" t="s">
        <v>61</v>
      </c>
      <c r="C19" s="1" t="s">
        <v>78</v>
      </c>
      <c r="D19" s="3">
        <v>5.2999999999999999E-2</v>
      </c>
      <c r="E19" s="3">
        <v>0.14000000000000001</v>
      </c>
      <c r="F19" s="2">
        <f t="shared" si="31"/>
        <v>4.5579999999999996E-2</v>
      </c>
      <c r="G19" s="4"/>
      <c r="H19" s="2">
        <f t="shared" si="32"/>
        <v>4.9999999999999996E-2</v>
      </c>
      <c r="I19" s="2">
        <f t="shared" si="33"/>
        <v>4.9999999999999996E-2</v>
      </c>
      <c r="J19" s="6"/>
      <c r="K19" s="2">
        <f t="shared" si="49"/>
        <v>5.8139534883720929E-2</v>
      </c>
      <c r="L19" s="2">
        <f t="shared" si="50"/>
        <v>5.8139534883720929E-2</v>
      </c>
      <c r="M19" s="6"/>
      <c r="N19" s="2">
        <f t="shared" si="0"/>
        <v>3.9E-2</v>
      </c>
      <c r="O19" s="2">
        <f t="shared" si="1"/>
        <v>2.8000000000000001E-2</v>
      </c>
      <c r="P19" s="2">
        <f t="shared" si="2"/>
        <v>2.4E-2</v>
      </c>
      <c r="Q19" s="2">
        <f t="shared" si="3"/>
        <v>2.5000000000000001E-2</v>
      </c>
      <c r="R19" s="2">
        <f t="shared" si="4"/>
        <v>2.5000000000000001E-2</v>
      </c>
      <c r="S19" s="2">
        <f t="shared" si="5"/>
        <v>2.5000000000000001E-2</v>
      </c>
      <c r="T19" s="2" cm="1">
        <f t="array" ref="T19">+PRODUCT(1+N19:P19)^(0.333333333333333)-1</f>
        <v>3.0313854145980201E-2</v>
      </c>
      <c r="U19" s="12" cm="1">
        <f t="array" ref="U19">+PRODUCT(1+N19:S19)^(1/6)-1</f>
        <v>2.7653492428079796E-2</v>
      </c>
      <c r="V19" s="12"/>
      <c r="W19" s="12"/>
      <c r="X19" s="12"/>
      <c r="Y19" s="12"/>
      <c r="Z19" s="6">
        <f t="shared" si="6"/>
        <v>9.0228622344496356E-2</v>
      </c>
      <c r="AA19" s="6">
        <f t="shared" si="34"/>
        <v>8.0708762563831637E-2</v>
      </c>
      <c r="AB19" s="6"/>
      <c r="AC19" s="6">
        <f t="shared" si="7"/>
        <v>0.1051173467828304</v>
      </c>
      <c r="AD19" s="6">
        <f t="shared" si="8"/>
        <v>9.0908600841539774E-2</v>
      </c>
      <c r="AE19" s="6"/>
      <c r="AF19" s="6">
        <f t="shared" si="9"/>
        <v>9.2728622344496359E-2</v>
      </c>
      <c r="AG19" s="6">
        <f t="shared" si="35"/>
        <v>9.3408600841539777E-2</v>
      </c>
      <c r="AH19" s="6"/>
      <c r="AI19" s="6">
        <f t="shared" si="10"/>
        <v>8.0228622344496361E-2</v>
      </c>
      <c r="AJ19" s="6">
        <f t="shared" si="11"/>
        <v>8.0908600841539779E-2</v>
      </c>
      <c r="AL19" s="3">
        <v>3.9E-2</v>
      </c>
      <c r="AM19" s="3">
        <v>2.8000000000000001E-2</v>
      </c>
      <c r="AN19" s="3">
        <v>2.4E-2</v>
      </c>
      <c r="AO19" s="3">
        <v>2.5000000000000001E-2</v>
      </c>
      <c r="AP19" s="3">
        <v>2.5000000000000001E-2</v>
      </c>
      <c r="AQ19" s="3">
        <v>2.5000000000000001E-2</v>
      </c>
      <c r="AR19" s="2" cm="1">
        <f t="array" ref="AR19">+PRODUCT(1+AL19:AN19)^(0.333333333333333)-1</f>
        <v>3.0313854145980201E-2</v>
      </c>
      <c r="AS19" s="12" cm="1">
        <f t="array" ref="AS19">+PRODUCT(1+AL19:AQ19)^(1/6)-1</f>
        <v>2.7653492428079796E-2</v>
      </c>
      <c r="AU19" s="3">
        <v>5.5799999999999947E-3</v>
      </c>
      <c r="AV19" s="3">
        <v>5.5799999999999947E-3</v>
      </c>
      <c r="AW19" s="40"/>
      <c r="AX19" s="42">
        <v>2.5000000000000001E-2</v>
      </c>
      <c r="AZ19" s="15">
        <f t="shared" si="36"/>
        <v>-1</v>
      </c>
      <c r="BA19" s="15">
        <f t="shared" si="12"/>
        <v>4.7357619999999989E-2</v>
      </c>
      <c r="BB19" s="15">
        <f t="shared" si="13"/>
        <v>4.8683633359999992E-2</v>
      </c>
      <c r="BC19" s="15">
        <f t="shared" si="14"/>
        <v>1.1864785653432321</v>
      </c>
      <c r="BD19" s="15"/>
      <c r="BE19" s="15">
        <v>-1</v>
      </c>
      <c r="BF19" s="15">
        <f t="shared" si="15"/>
        <v>4.7357619999999989E-2</v>
      </c>
      <c r="BG19" s="15">
        <f t="shared" si="16"/>
        <v>4.8683633359999992E-2</v>
      </c>
      <c r="BH19" s="15">
        <f t="shared" si="17"/>
        <v>4.9852040560639993E-2</v>
      </c>
      <c r="BI19" s="15">
        <f t="shared" si="18"/>
        <v>5.1098341574655988E-2</v>
      </c>
      <c r="BJ19" s="15">
        <f t="shared" si="19"/>
        <v>5.2375800114022382E-2</v>
      </c>
      <c r="BK19" s="15">
        <f t="shared" si="20"/>
        <v>1.2777076437815762</v>
      </c>
      <c r="BM19" s="25">
        <v>0.33</v>
      </c>
      <c r="BN19" s="50">
        <f t="shared" si="37"/>
        <v>0.06</v>
      </c>
      <c r="BO19" s="26">
        <v>0.06</v>
      </c>
      <c r="BP19" s="26">
        <v>6.25E-2</v>
      </c>
      <c r="BQ19" s="26">
        <v>5.7499999999999996E-2</v>
      </c>
      <c r="BR19" s="26">
        <v>2.5000000000000001E-3</v>
      </c>
      <c r="BS19" s="26">
        <v>1.2500000000000001E-2</v>
      </c>
      <c r="BU19">
        <f t="shared" si="21"/>
        <v>14</v>
      </c>
      <c r="BV19">
        <f t="shared" si="38"/>
        <v>17</v>
      </c>
      <c r="BW19" s="27">
        <v>0.01</v>
      </c>
      <c r="BX19" s="27">
        <v>7.0000000000000007E-2</v>
      </c>
      <c r="BY19" s="7"/>
      <c r="CB19">
        <f t="shared" si="22"/>
        <v>10</v>
      </c>
      <c r="CC19">
        <f t="shared" si="39"/>
        <v>17</v>
      </c>
      <c r="CD19" s="27">
        <v>0.01</v>
      </c>
      <c r="CE19" s="27">
        <v>7.0000000000000007E-2</v>
      </c>
      <c r="CJ19" s="50">
        <f t="shared" si="40"/>
        <v>3.4999999999999996E-2</v>
      </c>
      <c r="CK19" s="42">
        <v>3.4999999999999996E-2</v>
      </c>
      <c r="CL19" s="42">
        <v>3.7499999999999999E-2</v>
      </c>
      <c r="CM19" s="42">
        <v>3.2499999999999994E-2</v>
      </c>
      <c r="CN19" s="51">
        <f t="shared" si="41"/>
        <v>7.4999999999999997E-2</v>
      </c>
      <c r="CO19" s="51">
        <f t="shared" si="42"/>
        <v>7.4999999999999997E-2</v>
      </c>
      <c r="CP19" s="39">
        <f t="shared" si="23"/>
        <v>1.0289607285456128</v>
      </c>
      <c r="CQ19">
        <f t="shared" si="24"/>
        <v>4.7357619999999989E-2</v>
      </c>
      <c r="CR19">
        <f t="shared" si="25"/>
        <v>4.8683633359999992E-2</v>
      </c>
      <c r="CS19">
        <f t="shared" si="26"/>
        <v>4.9852040560639993E-2</v>
      </c>
      <c r="CT19">
        <f t="shared" si="27"/>
        <v>5.1098341574655988E-2</v>
      </c>
      <c r="CU19">
        <f t="shared" si="28"/>
        <v>5.2375800114022382E-2</v>
      </c>
      <c r="CV19">
        <f t="shared" si="29"/>
        <v>1.2777076437815762</v>
      </c>
      <c r="CY19" s="35">
        <f t="shared" si="43"/>
        <v>2.5000000000000001E-2</v>
      </c>
      <c r="CZ19" s="35">
        <f t="shared" si="44"/>
        <v>2.5000000000000001E-2</v>
      </c>
      <c r="DB19" s="6">
        <f t="shared" si="30"/>
        <v>4.9999999999999996E-2</v>
      </c>
      <c r="DC19" s="6">
        <f t="shared" si="45"/>
        <v>4.9999999999999996E-2</v>
      </c>
      <c r="DE19" s="6">
        <f t="shared" si="46"/>
        <v>5.8139534883720929E-2</v>
      </c>
      <c r="DF19" s="6">
        <f t="shared" si="47"/>
        <v>5.8139534883720929E-2</v>
      </c>
    </row>
    <row r="20" spans="1:110" x14ac:dyDescent="0.25">
      <c r="A20">
        <f t="shared" si="48"/>
        <v>18</v>
      </c>
      <c r="B20" s="1" t="s">
        <v>61</v>
      </c>
      <c r="C20" s="1" t="s">
        <v>79</v>
      </c>
      <c r="D20" s="3">
        <v>4.3999999999999997E-2</v>
      </c>
      <c r="E20" s="3">
        <v>0.08</v>
      </c>
      <c r="F20" s="2">
        <f t="shared" si="31"/>
        <v>4.0480000000000002E-2</v>
      </c>
      <c r="G20" s="4"/>
      <c r="H20" s="2">
        <f t="shared" si="32"/>
        <v>4.7499999999999994E-2</v>
      </c>
      <c r="I20" s="2">
        <f t="shared" si="33"/>
        <v>5.2499999999999991E-2</v>
      </c>
      <c r="J20" s="6"/>
      <c r="K20" s="2">
        <f t="shared" si="49"/>
        <v>5.1630434782608689E-2</v>
      </c>
      <c r="L20" s="2">
        <f t="shared" si="50"/>
        <v>5.7065217391304338E-2</v>
      </c>
      <c r="M20" s="6"/>
      <c r="N20" s="2">
        <f t="shared" si="0"/>
        <v>-1.4999999999999999E-2</v>
      </c>
      <c r="O20" s="2">
        <f t="shared" si="1"/>
        <v>2.3E-2</v>
      </c>
      <c r="P20" s="2">
        <f t="shared" si="2"/>
        <v>2.7E-2</v>
      </c>
      <c r="Q20" s="2">
        <f t="shared" si="3"/>
        <v>2.5000000000000001E-2</v>
      </c>
      <c r="R20" s="2">
        <f t="shared" si="4"/>
        <v>0.02</v>
      </c>
      <c r="S20" s="2">
        <f t="shared" si="5"/>
        <v>0.02</v>
      </c>
      <c r="T20" s="2" cm="1">
        <f t="array" ref="T20">+PRODUCT(1+N20:P20)^(0.333333333333333)-1</f>
        <v>1.1488080294234315E-2</v>
      </c>
      <c r="U20" s="12" cm="1">
        <f t="array" ref="U20">+PRODUCT(1+N20:S20)^(1/6)-1</f>
        <v>1.6563282952569702E-2</v>
      </c>
      <c r="V20" s="12"/>
      <c r="W20" s="12"/>
      <c r="X20" s="12"/>
      <c r="Y20" s="12"/>
      <c r="Z20" s="6">
        <f t="shared" si="6"/>
        <v>2.5387781483563465E-2</v>
      </c>
      <c r="AA20" s="6">
        <f t="shared" si="34"/>
        <v>2.9711189153066586E-2</v>
      </c>
      <c r="AB20" s="6"/>
      <c r="AC20" s="6">
        <f t="shared" si="7"/>
        <v>1.1927474282727031E-2</v>
      </c>
      <c r="AD20" s="6">
        <f t="shared" si="8"/>
        <v>1.7932207157036924E-2</v>
      </c>
      <c r="AE20" s="6"/>
      <c r="AF20" s="6">
        <f t="shared" si="9"/>
        <v>3.0387781483563466E-2</v>
      </c>
      <c r="AG20" s="6">
        <f t="shared" si="35"/>
        <v>2.2932207157036925E-2</v>
      </c>
      <c r="AH20" s="6"/>
      <c r="AI20" s="6">
        <f t="shared" si="10"/>
        <v>1.7887781483563465E-2</v>
      </c>
      <c r="AJ20" s="6">
        <f t="shared" si="11"/>
        <v>1.0432207157036924E-2</v>
      </c>
      <c r="AL20" s="3">
        <v>-1.4999999999999999E-2</v>
      </c>
      <c r="AM20" s="3">
        <v>2.3E-2</v>
      </c>
      <c r="AN20" s="3">
        <v>2.7E-2</v>
      </c>
      <c r="AO20" s="3">
        <v>2.5000000000000001E-2</v>
      </c>
      <c r="AP20" s="3">
        <v>0.02</v>
      </c>
      <c r="AQ20" s="3">
        <v>0.02</v>
      </c>
      <c r="AR20" s="2" cm="1">
        <f t="array" ref="AR20">+PRODUCT(1+AL20:AN20)^(0.333333333333333)-1</f>
        <v>1.1488080294234315E-2</v>
      </c>
      <c r="AS20" s="12" cm="1">
        <f t="array" ref="AS20">+PRODUCT(1+AL20:AQ20)^(1/6)-1</f>
        <v>1.6563282952569702E-2</v>
      </c>
      <c r="AU20" s="3">
        <v>4.8000000000000126E-4</v>
      </c>
      <c r="AV20" s="3">
        <v>4.8000000000000126E-4</v>
      </c>
      <c r="AW20" s="40"/>
      <c r="AX20" s="42">
        <v>0.02</v>
      </c>
      <c r="AZ20" s="15">
        <f t="shared" si="36"/>
        <v>-1</v>
      </c>
      <c r="BA20" s="15">
        <f t="shared" si="12"/>
        <v>3.98728E-2</v>
      </c>
      <c r="BB20" s="15">
        <f t="shared" si="13"/>
        <v>4.0789874399999995E-2</v>
      </c>
      <c r="BC20" s="15">
        <f t="shared" si="14"/>
        <v>0.99436482394572623</v>
      </c>
      <c r="BD20" s="15"/>
      <c r="BE20" s="15">
        <v>-1</v>
      </c>
      <c r="BF20" s="15">
        <f t="shared" si="15"/>
        <v>3.98728E-2</v>
      </c>
      <c r="BG20" s="15">
        <f t="shared" si="16"/>
        <v>4.0789874399999995E-2</v>
      </c>
      <c r="BH20" s="15">
        <f t="shared" si="17"/>
        <v>4.1891201008799991E-2</v>
      </c>
      <c r="BI20" s="15">
        <f t="shared" si="18"/>
        <v>4.2938481034019989E-2</v>
      </c>
      <c r="BJ20" s="15">
        <f t="shared" si="19"/>
        <v>4.3797250654700387E-2</v>
      </c>
      <c r="BK20" s="15">
        <f t="shared" si="20"/>
        <v>0.96366464940527918</v>
      </c>
      <c r="BM20" s="25">
        <v>0.28000000000000003</v>
      </c>
      <c r="BN20" s="50">
        <f t="shared" si="37"/>
        <v>0.06</v>
      </c>
      <c r="BO20" s="26">
        <v>0.06</v>
      </c>
      <c r="BP20" s="26">
        <v>6.25E-2</v>
      </c>
      <c r="BQ20" s="26">
        <v>5.7499999999999996E-2</v>
      </c>
      <c r="BR20" s="26">
        <v>5.0000000000000001E-3</v>
      </c>
      <c r="BS20" s="26">
        <v>1.2500000000000001E-2</v>
      </c>
      <c r="BU20">
        <f t="shared" si="21"/>
        <v>17</v>
      </c>
      <c r="BV20">
        <f t="shared" si="38"/>
        <v>18</v>
      </c>
      <c r="BW20" s="27">
        <v>0.01</v>
      </c>
      <c r="BX20" s="27">
        <v>7.0000000000000007E-2</v>
      </c>
      <c r="BY20" s="7"/>
      <c r="CB20">
        <f t="shared" si="22"/>
        <v>15</v>
      </c>
      <c r="CC20">
        <f t="shared" si="39"/>
        <v>18</v>
      </c>
      <c r="CD20" s="27">
        <v>0.01</v>
      </c>
      <c r="CE20" s="27">
        <v>7.0000000000000007E-2</v>
      </c>
      <c r="CJ20" s="50">
        <f t="shared" si="40"/>
        <v>3.2499999999999994E-2</v>
      </c>
      <c r="CK20" s="42">
        <v>3.2499999999999994E-2</v>
      </c>
      <c r="CL20" s="42">
        <v>3.4999999999999996E-2</v>
      </c>
      <c r="CM20" s="42">
        <v>2.9999999999999995E-2</v>
      </c>
      <c r="CN20" s="51">
        <f t="shared" si="41"/>
        <v>7.2499999999999995E-2</v>
      </c>
      <c r="CO20" s="51">
        <f t="shared" si="42"/>
        <v>7.2499999999999995E-2</v>
      </c>
      <c r="CP20" s="39">
        <f t="shared" si="23"/>
        <v>0.80311566261169132</v>
      </c>
      <c r="CQ20">
        <f t="shared" si="24"/>
        <v>3.98728E-2</v>
      </c>
      <c r="CR20">
        <f t="shared" si="25"/>
        <v>4.0789874399999995E-2</v>
      </c>
      <c r="CS20">
        <f t="shared" si="26"/>
        <v>4.1891201008799991E-2</v>
      </c>
      <c r="CT20">
        <f t="shared" si="27"/>
        <v>4.2938481034019989E-2</v>
      </c>
      <c r="CU20">
        <f t="shared" si="28"/>
        <v>4.3797250654700387E-2</v>
      </c>
      <c r="CV20">
        <f t="shared" si="29"/>
        <v>0.96366464940527918</v>
      </c>
      <c r="CY20" s="35">
        <f t="shared" si="43"/>
        <v>2.5000000000000001E-2</v>
      </c>
      <c r="CZ20" s="35">
        <f t="shared" si="44"/>
        <v>0.02</v>
      </c>
      <c r="DB20" s="6">
        <f t="shared" si="30"/>
        <v>4.7499999999999994E-2</v>
      </c>
      <c r="DC20" s="6">
        <f t="shared" si="45"/>
        <v>5.2499999999999991E-2</v>
      </c>
      <c r="DE20" s="6">
        <f t="shared" si="46"/>
        <v>5.1630434782608689E-2</v>
      </c>
      <c r="DF20" s="6">
        <f t="shared" si="47"/>
        <v>5.7065217391304338E-2</v>
      </c>
    </row>
    <row r="21" spans="1:110" x14ac:dyDescent="0.25">
      <c r="A21">
        <f t="shared" si="48"/>
        <v>19</v>
      </c>
      <c r="B21" s="1" t="s">
        <v>61</v>
      </c>
      <c r="C21" s="1" t="s">
        <v>80</v>
      </c>
      <c r="D21" s="3">
        <v>3.6999999999999998E-2</v>
      </c>
      <c r="E21" s="3">
        <v>7.0000000000000007E-2</v>
      </c>
      <c r="F21" s="2">
        <f t="shared" si="31"/>
        <v>3.4409999999999996E-2</v>
      </c>
      <c r="G21" s="4"/>
      <c r="H21" s="2">
        <f t="shared" si="32"/>
        <v>3.4999999999999996E-2</v>
      </c>
      <c r="I21" s="2">
        <f t="shared" si="33"/>
        <v>5.4999999999999993E-2</v>
      </c>
      <c r="J21" s="6"/>
      <c r="K21" s="2">
        <f t="shared" si="49"/>
        <v>3.7634408602150539E-2</v>
      </c>
      <c r="L21" s="2">
        <f t="shared" si="50"/>
        <v>5.9139784946236555E-2</v>
      </c>
      <c r="M21" s="6"/>
      <c r="N21" s="2">
        <f t="shared" si="0"/>
        <v>7.0000000000000007E-2</v>
      </c>
      <c r="O21" s="2">
        <f t="shared" si="1"/>
        <v>0.06</v>
      </c>
      <c r="P21" s="2">
        <f t="shared" si="2"/>
        <v>0.05</v>
      </c>
      <c r="Q21" s="2">
        <f t="shared" si="3"/>
        <v>0.04</v>
      </c>
      <c r="R21" s="2">
        <f t="shared" si="4"/>
        <v>0.03</v>
      </c>
      <c r="S21" s="2">
        <f t="shared" si="5"/>
        <v>0.02</v>
      </c>
      <c r="T21" s="2" cm="1">
        <f t="array" ref="T21">+PRODUCT(1+N21:P21)^(0.333333333333333)-1</f>
        <v>5.9968552526163066E-2</v>
      </c>
      <c r="U21" s="12" cm="1">
        <f t="array" ref="U21">+PRODUCT(1+N21:S21)^(1/6)-1</f>
        <v>4.4860423613933165E-2</v>
      </c>
      <c r="V21" s="12"/>
      <c r="W21" s="12"/>
      <c r="X21" s="12"/>
      <c r="Y21" s="12"/>
      <c r="Z21" s="6">
        <f t="shared" si="6"/>
        <v>0.11413091648918416</v>
      </c>
      <c r="AA21" s="6">
        <f t="shared" si="34"/>
        <v>2.0862223513029132E-2</v>
      </c>
      <c r="AB21" s="6"/>
      <c r="AC21" s="6">
        <f t="shared" si="7"/>
        <v>0.13217455531891223</v>
      </c>
      <c r="AD21" s="6">
        <f t="shared" si="8"/>
        <v>7.8162980173721777E-3</v>
      </c>
      <c r="AE21" s="6"/>
      <c r="AF21" s="6">
        <f t="shared" si="9"/>
        <v>0.12163091648918417</v>
      </c>
      <c r="AG21" s="6">
        <f t="shared" si="35"/>
        <v>1.5316298017372177E-2</v>
      </c>
      <c r="AH21" s="6"/>
      <c r="AI21" s="6">
        <f t="shared" si="10"/>
        <v>0.10913091648918417</v>
      </c>
      <c r="AJ21" s="6">
        <f t="shared" si="11"/>
        <v>2.8162980173721767E-3</v>
      </c>
      <c r="AL21" s="3">
        <v>7.0000000000000007E-2</v>
      </c>
      <c r="AM21" s="3">
        <v>0.06</v>
      </c>
      <c r="AN21" s="3">
        <v>0.05</v>
      </c>
      <c r="AO21" s="3">
        <v>0.04</v>
      </c>
      <c r="AP21" s="3">
        <v>0.03</v>
      </c>
      <c r="AQ21" s="3">
        <v>0.02</v>
      </c>
      <c r="AR21" s="2" cm="1">
        <f t="array" ref="AR21">+PRODUCT(1+AL21:AN21)^(0.333333333333333)-1</f>
        <v>5.9968552526163066E-2</v>
      </c>
      <c r="AS21" s="12" cm="1">
        <f t="array" ref="AS21">+PRODUCT(1+AL21:AQ21)^(1/6)-1</f>
        <v>4.4860423613933165E-2</v>
      </c>
      <c r="AU21" s="3">
        <v>-5.5900000000000047E-3</v>
      </c>
      <c r="AV21" s="3">
        <v>-3.0000000000000001E-3</v>
      </c>
      <c r="AW21" s="40"/>
      <c r="AX21" s="42">
        <v>1.7500000000000002E-2</v>
      </c>
      <c r="AZ21" s="15">
        <f t="shared" si="36"/>
        <v>-1</v>
      </c>
      <c r="BA21" s="15">
        <f t="shared" si="12"/>
        <v>3.6818699999999996E-2</v>
      </c>
      <c r="BB21" s="15">
        <f t="shared" si="13"/>
        <v>3.9027821999999997E-2</v>
      </c>
      <c r="BC21" s="15">
        <f t="shared" si="14"/>
        <v>1.2937722993</v>
      </c>
      <c r="BD21" s="15"/>
      <c r="BE21" s="15">
        <v>-1</v>
      </c>
      <c r="BF21" s="15">
        <f t="shared" si="15"/>
        <v>3.6818699999999996E-2</v>
      </c>
      <c r="BG21" s="15">
        <f t="shared" si="16"/>
        <v>3.9027821999999997E-2</v>
      </c>
      <c r="BH21" s="15">
        <f t="shared" si="17"/>
        <v>4.0979213099999995E-2</v>
      </c>
      <c r="BI21" s="15">
        <f t="shared" si="18"/>
        <v>4.2618381623999994E-2</v>
      </c>
      <c r="BJ21" s="15">
        <f t="shared" si="19"/>
        <v>4.3896933072719996E-2</v>
      </c>
      <c r="BK21" s="15">
        <f t="shared" si="20"/>
        <v>0.91584964910811273</v>
      </c>
      <c r="BM21" s="25">
        <v>0.25</v>
      </c>
      <c r="BN21" s="50">
        <f t="shared" si="37"/>
        <v>0.06</v>
      </c>
      <c r="BO21" s="26">
        <v>0.06</v>
      </c>
      <c r="BP21" s="26">
        <v>6.25E-2</v>
      </c>
      <c r="BQ21" s="26">
        <v>5.7499999999999996E-2</v>
      </c>
      <c r="BR21" s="26">
        <v>7.4999999999999997E-3</v>
      </c>
      <c r="BS21" s="26">
        <v>1.2500000000000001E-2</v>
      </c>
      <c r="BU21">
        <f t="shared" si="21"/>
        <v>12</v>
      </c>
      <c r="BV21">
        <f t="shared" si="38"/>
        <v>19</v>
      </c>
      <c r="BW21" s="27">
        <v>0.01</v>
      </c>
      <c r="BX21" s="27">
        <v>7.0000000000000007E-2</v>
      </c>
      <c r="BY21" s="7"/>
      <c r="CB21">
        <f t="shared" si="22"/>
        <v>18</v>
      </c>
      <c r="CC21">
        <f t="shared" si="39"/>
        <v>19</v>
      </c>
      <c r="CD21" s="27">
        <v>0.01</v>
      </c>
      <c r="CE21" s="27">
        <v>7.0000000000000007E-2</v>
      </c>
      <c r="CJ21" s="50">
        <f t="shared" si="40"/>
        <v>3.4999999999999996E-2</v>
      </c>
      <c r="CK21" s="42">
        <v>3.4999999999999996E-2</v>
      </c>
      <c r="CL21" s="42">
        <v>3.7499999999999999E-2</v>
      </c>
      <c r="CM21" s="42">
        <v>3.2499999999999994E-2</v>
      </c>
      <c r="CN21" s="51">
        <f t="shared" si="41"/>
        <v>7.4999999999999997E-2</v>
      </c>
      <c r="CO21" s="51">
        <f t="shared" si="42"/>
        <v>7.4999999999999997E-2</v>
      </c>
      <c r="CP21" s="39">
        <f t="shared" si="23"/>
        <v>0.75693343508972777</v>
      </c>
      <c r="CQ21">
        <f t="shared" si="24"/>
        <v>3.6818699999999996E-2</v>
      </c>
      <c r="CR21">
        <f t="shared" si="25"/>
        <v>3.9027821999999997E-2</v>
      </c>
      <c r="CS21">
        <f t="shared" si="26"/>
        <v>4.0979213099999995E-2</v>
      </c>
      <c r="CT21">
        <f t="shared" si="27"/>
        <v>4.2618381623999994E-2</v>
      </c>
      <c r="CU21">
        <f t="shared" si="28"/>
        <v>4.3896933072719996E-2</v>
      </c>
      <c r="CV21">
        <f t="shared" si="29"/>
        <v>0.91584964910811273</v>
      </c>
      <c r="CY21" s="35">
        <f t="shared" si="43"/>
        <v>0.04</v>
      </c>
      <c r="CZ21" s="35">
        <f t="shared" si="44"/>
        <v>0.02</v>
      </c>
      <c r="DB21" s="6">
        <f t="shared" si="30"/>
        <v>3.4999999999999996E-2</v>
      </c>
      <c r="DC21" s="6">
        <f t="shared" si="45"/>
        <v>5.4999999999999993E-2</v>
      </c>
      <c r="DE21" s="6">
        <f t="shared" si="46"/>
        <v>3.7634408602150539E-2</v>
      </c>
      <c r="DF21" s="6">
        <f t="shared" si="47"/>
        <v>5.9139784946236555E-2</v>
      </c>
    </row>
    <row r="22" spans="1:110" x14ac:dyDescent="0.25">
      <c r="N22" s="6"/>
      <c r="O22" s="6"/>
      <c r="P22" s="6"/>
      <c r="Q22" s="6"/>
      <c r="R22" s="6"/>
      <c r="S22" s="6"/>
    </row>
    <row r="23" spans="1:110" x14ac:dyDescent="0.25">
      <c r="B23" s="10" t="s">
        <v>81</v>
      </c>
      <c r="C23" s="10" t="s">
        <v>82</v>
      </c>
      <c r="T23" s="16" cm="1">
        <f t="array" ref="T23">+PRODUCT(1+D29:F29)^(0.333333333333333)-1</f>
        <v>2.2497962506127456E-2</v>
      </c>
      <c r="U23" s="16" cm="1">
        <f t="array" ref="U23">+PRODUCT(1+D29:I29)^(1/6)-1</f>
        <v>2.1248217504564293E-2</v>
      </c>
      <c r="V23" s="16"/>
      <c r="W23" s="16"/>
      <c r="X23" s="16"/>
      <c r="Y23" s="16"/>
      <c r="AL23" t="s">
        <v>83</v>
      </c>
      <c r="AU23" t="s">
        <v>84</v>
      </c>
      <c r="BE23" s="27"/>
      <c r="BW23" s="5">
        <f>+SUM(BW3:BW21)</f>
        <v>0.62</v>
      </c>
      <c r="BX23" s="5">
        <f>+SUM(BX3:BX21)</f>
        <v>2.819999999999999</v>
      </c>
      <c r="BY23" s="5">
        <v>1</v>
      </c>
      <c r="BZ23">
        <f>+SUM(BZ3:BZ21)</f>
        <v>0</v>
      </c>
      <c r="CD23" s="5">
        <f>+SUM(CD3:CD21)</f>
        <v>0.7200000000000002</v>
      </c>
      <c r="CE23" s="5">
        <f>+SUM(CE3:CE21)</f>
        <v>2.819999999999999</v>
      </c>
      <c r="CJ23" s="52" t="s">
        <v>150</v>
      </c>
    </row>
    <row r="24" spans="1:110" ht="15.75" thickBot="1" x14ac:dyDescent="0.3">
      <c r="B24" s="10"/>
      <c r="C24" s="10"/>
      <c r="T24" s="16"/>
      <c r="U24" s="16"/>
      <c r="V24" s="16"/>
      <c r="W24" s="16"/>
      <c r="X24" s="16"/>
      <c r="Y24" s="16"/>
    </row>
    <row r="25" spans="1:110" ht="15.75" thickBot="1" x14ac:dyDescent="0.3">
      <c r="B25" s="10"/>
      <c r="C25" s="10" t="s">
        <v>85</v>
      </c>
      <c r="D25" s="31" t="s">
        <v>86</v>
      </c>
      <c r="F25" s="22" t="s">
        <v>87</v>
      </c>
      <c r="G25" s="23" t="s">
        <v>86</v>
      </c>
      <c r="H25" s="23" t="s">
        <v>88</v>
      </c>
      <c r="I25" s="24" t="s">
        <v>89</v>
      </c>
      <c r="K25" s="47"/>
      <c r="L25" s="47"/>
      <c r="AL25" s="16">
        <v>0.03</v>
      </c>
      <c r="AM25" s="16">
        <v>0.03</v>
      </c>
      <c r="AN25" s="16">
        <v>0.03</v>
      </c>
      <c r="AO25" s="16">
        <v>0.03</v>
      </c>
      <c r="AP25" s="16">
        <v>0.03</v>
      </c>
      <c r="AQ25" s="16">
        <v>0.03</v>
      </c>
      <c r="AR25" s="16"/>
      <c r="AS25" s="16"/>
    </row>
    <row r="26" spans="1:110" x14ac:dyDescent="0.25">
      <c r="AL26" s="16">
        <v>2.5000000000000001E-2</v>
      </c>
      <c r="AM26" s="16">
        <v>2.2499999999999999E-2</v>
      </c>
      <c r="AN26" s="16">
        <v>0.02</v>
      </c>
      <c r="AO26" s="16">
        <v>0.02</v>
      </c>
      <c r="AP26" s="16">
        <v>0.02</v>
      </c>
      <c r="AQ26" s="16">
        <v>0.02</v>
      </c>
      <c r="AR26" s="16"/>
      <c r="AS26" s="16"/>
    </row>
    <row r="27" spans="1:110" x14ac:dyDescent="0.25">
      <c r="C27" s="19" t="s">
        <v>90</v>
      </c>
      <c r="AL27" s="16">
        <v>0.01</v>
      </c>
      <c r="AM27" s="16">
        <v>0.01</v>
      </c>
      <c r="AN27" s="16">
        <v>0.01</v>
      </c>
      <c r="AO27" s="16">
        <v>0.01</v>
      </c>
      <c r="AP27" s="16">
        <v>0.01</v>
      </c>
      <c r="AQ27" s="16">
        <v>0.01</v>
      </c>
      <c r="AR27" s="16"/>
      <c r="AS27" s="16"/>
    </row>
    <row r="28" spans="1:110" x14ac:dyDescent="0.25">
      <c r="C28" s="10" t="s">
        <v>91</v>
      </c>
    </row>
    <row r="29" spans="1:110" x14ac:dyDescent="0.25">
      <c r="C29" s="10" t="s">
        <v>82</v>
      </c>
      <c r="D29" s="20">
        <f t="shared" ref="D29:I30" si="51">IF($D$25=$G$25,D35,IF($D$25=$H$25,D41,IF($D$25=$I$25,D47,"ERR")))</f>
        <v>2.5000000000000001E-2</v>
      </c>
      <c r="E29" s="20">
        <f t="shared" si="51"/>
        <v>2.2499999999999999E-2</v>
      </c>
      <c r="F29" s="20">
        <f t="shared" si="51"/>
        <v>0.02</v>
      </c>
      <c r="G29" s="20">
        <f t="shared" si="51"/>
        <v>0.02</v>
      </c>
      <c r="H29" s="20">
        <f t="shared" si="51"/>
        <v>0.02</v>
      </c>
      <c r="I29" s="20">
        <f t="shared" si="51"/>
        <v>0.02</v>
      </c>
      <c r="K29" s="20"/>
      <c r="L29" s="20"/>
      <c r="N29" s="20"/>
      <c r="AL29" s="16">
        <f t="shared" ref="AL29:AQ29" si="52">+D29</f>
        <v>2.5000000000000001E-2</v>
      </c>
      <c r="AM29" s="16">
        <f t="shared" si="52"/>
        <v>2.2499999999999999E-2</v>
      </c>
      <c r="AN29" s="16">
        <f t="shared" si="52"/>
        <v>0.02</v>
      </c>
      <c r="AO29" s="16">
        <f t="shared" si="52"/>
        <v>0.02</v>
      </c>
      <c r="AP29" s="16">
        <f t="shared" si="52"/>
        <v>0.02</v>
      </c>
      <c r="AQ29" s="16">
        <f t="shared" si="52"/>
        <v>0.02</v>
      </c>
      <c r="AR29" s="16"/>
      <c r="AS29" s="16"/>
    </row>
    <row r="30" spans="1:110" x14ac:dyDescent="0.25">
      <c r="C30" s="10" t="s">
        <v>92</v>
      </c>
      <c r="D30" s="20">
        <f t="shared" si="51"/>
        <v>4.4999999999999998E-2</v>
      </c>
      <c r="E30" s="20">
        <f t="shared" si="51"/>
        <v>0.04</v>
      </c>
      <c r="F30" s="21">
        <f t="shared" si="51"/>
        <v>0.04</v>
      </c>
      <c r="G30" s="20">
        <f t="shared" si="51"/>
        <v>0.04</v>
      </c>
      <c r="H30" s="20">
        <f t="shared" si="51"/>
        <v>0.04</v>
      </c>
      <c r="I30" s="21">
        <f t="shared" si="51"/>
        <v>0.04</v>
      </c>
      <c r="K30" s="21"/>
      <c r="L30" s="21"/>
      <c r="N30" s="20"/>
      <c r="U30" s="5"/>
      <c r="V30" s="5"/>
      <c r="W30" s="5"/>
      <c r="X30" s="5"/>
      <c r="Y30" s="5"/>
    </row>
    <row r="31" spans="1:110" x14ac:dyDescent="0.25">
      <c r="C31" s="10"/>
      <c r="D31" s="20"/>
      <c r="E31" s="20"/>
      <c r="F31" s="21"/>
      <c r="G31" s="20"/>
      <c r="H31" s="20"/>
      <c r="I31" s="21"/>
      <c r="K31" s="21"/>
      <c r="L31" s="21"/>
      <c r="N31" s="20"/>
      <c r="U31" s="5"/>
      <c r="V31" s="5"/>
      <c r="W31" s="5"/>
      <c r="X31" s="5"/>
      <c r="Y31" s="5"/>
    </row>
    <row r="32" spans="1:110" x14ac:dyDescent="0.25">
      <c r="F32" s="20">
        <f>IF($D$25=$G$25,F37,IF($D$25=$H$25,F43,IF($D$25=$I$25,F49,"ERR")))</f>
        <v>0</v>
      </c>
      <c r="I32" s="20">
        <f>IF($D$25=$G$25,I37,IF($D$25=$H$25,I43,IF($D$25=$I$25,I49,"ERR")))</f>
        <v>0</v>
      </c>
      <c r="J32" s="7"/>
      <c r="K32" s="20"/>
      <c r="L32" s="20"/>
      <c r="M32" s="7"/>
      <c r="N32" s="7"/>
      <c r="U32" s="7"/>
      <c r="V32" s="7"/>
      <c r="W32" s="7"/>
      <c r="X32" s="7"/>
      <c r="Y32" s="7"/>
      <c r="Z32" s="7"/>
      <c r="AA32" s="7"/>
      <c r="AB32" s="7"/>
    </row>
    <row r="33" spans="3:46" x14ac:dyDescent="0.25">
      <c r="C33" s="9" t="s">
        <v>93</v>
      </c>
      <c r="D33" s="7"/>
      <c r="E33" s="7"/>
      <c r="F33" s="7"/>
      <c r="J33" s="7"/>
      <c r="M33" s="7"/>
      <c r="N33" s="7"/>
      <c r="U33" s="7"/>
      <c r="V33" s="7"/>
      <c r="W33" s="7"/>
      <c r="X33" s="7"/>
      <c r="Y33" s="7"/>
      <c r="Z33" s="7"/>
      <c r="AA33" s="7"/>
      <c r="AB33" s="7"/>
    </row>
    <row r="34" spans="3:46" x14ac:dyDescent="0.25">
      <c r="C34" s="10" t="s">
        <v>94</v>
      </c>
      <c r="D34" s="11">
        <v>2.5000000000000001E-2</v>
      </c>
      <c r="E34" s="11">
        <v>2.2499999999999999E-2</v>
      </c>
      <c r="F34" s="11">
        <v>0.02</v>
      </c>
      <c r="G34" s="11">
        <v>0.02</v>
      </c>
      <c r="H34" s="11">
        <v>0.02</v>
      </c>
      <c r="I34" s="11">
        <v>0.02</v>
      </c>
      <c r="J34" s="7"/>
      <c r="K34" s="11"/>
      <c r="L34" s="11"/>
      <c r="M34" s="7"/>
      <c r="N34" s="11">
        <v>0.02</v>
      </c>
      <c r="U34" s="7"/>
      <c r="V34" s="7"/>
      <c r="W34" s="7"/>
      <c r="X34" s="7"/>
      <c r="Y34" s="7"/>
      <c r="Z34" s="7"/>
      <c r="AA34" s="7"/>
      <c r="AB34" s="7"/>
    </row>
    <row r="35" spans="3:46" x14ac:dyDescent="0.25">
      <c r="C35" s="10" t="s">
        <v>95</v>
      </c>
      <c r="D35" s="11">
        <v>2.5000000000000001E-2</v>
      </c>
      <c r="E35" s="11">
        <v>2.2499999999999999E-2</v>
      </c>
      <c r="F35" s="11">
        <v>0.02</v>
      </c>
      <c r="G35" s="11">
        <v>0.02</v>
      </c>
      <c r="H35" s="11">
        <v>0.02</v>
      </c>
      <c r="I35" s="11">
        <v>0.02</v>
      </c>
      <c r="J35" s="11"/>
      <c r="K35" s="11"/>
      <c r="L35" s="11"/>
      <c r="M35" s="11"/>
      <c r="N35" s="11">
        <v>0.02</v>
      </c>
      <c r="U35" s="7"/>
      <c r="V35" s="7"/>
      <c r="W35" s="7"/>
      <c r="X35" s="7"/>
      <c r="Y35" s="7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</row>
    <row r="36" spans="3:46" x14ac:dyDescent="0.25">
      <c r="C36" s="10" t="s">
        <v>96</v>
      </c>
      <c r="D36" s="20">
        <f>+E35+E34</f>
        <v>4.4999999999999998E-2</v>
      </c>
      <c r="E36" s="20">
        <f t="shared" ref="E36:H36" si="53">+F35+F34</f>
        <v>0.04</v>
      </c>
      <c r="F36" s="20">
        <f t="shared" si="53"/>
        <v>0.04</v>
      </c>
      <c r="G36" s="20">
        <f t="shared" si="53"/>
        <v>0.04</v>
      </c>
      <c r="H36" s="20">
        <f t="shared" si="53"/>
        <v>0.04</v>
      </c>
      <c r="I36" s="20">
        <f>+N35+N34</f>
        <v>0.04</v>
      </c>
      <c r="J36" s="7"/>
      <c r="K36" s="20"/>
      <c r="L36" s="20"/>
      <c r="M36" s="7"/>
      <c r="N36" s="11"/>
      <c r="U36" s="7"/>
      <c r="V36" s="7"/>
      <c r="W36" s="7"/>
      <c r="X36" s="7"/>
      <c r="Y36" s="7"/>
      <c r="Z36" s="7"/>
      <c r="AA36" s="7"/>
      <c r="AB36" s="7"/>
    </row>
    <row r="37" spans="3:46" x14ac:dyDescent="0.25">
      <c r="C37" s="10" t="s">
        <v>97</v>
      </c>
      <c r="D37" s="20"/>
      <c r="E37" s="20"/>
      <c r="F37" s="11">
        <v>0</v>
      </c>
      <c r="G37" s="20"/>
      <c r="H37" s="11"/>
      <c r="I37" s="11">
        <v>0</v>
      </c>
      <c r="J37" s="7"/>
      <c r="K37" s="11"/>
      <c r="L37" s="11"/>
      <c r="M37" s="7"/>
      <c r="N37" s="11"/>
      <c r="U37" s="7"/>
      <c r="V37" s="7"/>
      <c r="W37" s="7"/>
      <c r="X37" s="7"/>
      <c r="Y37" s="7"/>
      <c r="Z37" s="7"/>
      <c r="AA37" s="7"/>
      <c r="AB37" s="7"/>
    </row>
    <row r="38" spans="3:46" x14ac:dyDescent="0.25">
      <c r="C38" s="10"/>
      <c r="D38" s="11"/>
      <c r="E38" s="11"/>
      <c r="F38" s="11"/>
      <c r="G38" s="11"/>
      <c r="H38" s="11"/>
      <c r="I38" s="11"/>
      <c r="J38" s="7"/>
      <c r="K38" s="11"/>
      <c r="L38" s="11"/>
      <c r="M38" s="7"/>
      <c r="N38" s="11"/>
      <c r="U38" s="7"/>
      <c r="V38" s="7"/>
      <c r="W38" s="7"/>
      <c r="X38" s="7"/>
      <c r="Y38" s="7"/>
      <c r="Z38" s="7"/>
      <c r="AA38" s="7"/>
      <c r="AB38" s="7"/>
    </row>
    <row r="39" spans="3:46" x14ac:dyDescent="0.25">
      <c r="C39" s="19" t="s">
        <v>98</v>
      </c>
      <c r="J39" s="7"/>
      <c r="M39" s="7"/>
      <c r="N39" s="7"/>
      <c r="U39" s="7"/>
      <c r="V39" s="7"/>
      <c r="W39" s="7"/>
      <c r="X39" s="7"/>
      <c r="Y39" s="7"/>
      <c r="Z39" s="7"/>
      <c r="AA39" s="7"/>
      <c r="AB39" s="7"/>
    </row>
    <row r="40" spans="3:46" x14ac:dyDescent="0.25">
      <c r="C40" s="10" t="s">
        <v>94</v>
      </c>
      <c r="D40" s="11">
        <v>2.5000000000000001E-2</v>
      </c>
      <c r="E40" s="11">
        <v>2.2499999999999999E-2</v>
      </c>
      <c r="F40" s="11">
        <v>0.02</v>
      </c>
      <c r="G40" s="11">
        <v>0.02</v>
      </c>
      <c r="H40" s="11">
        <v>0.02</v>
      </c>
      <c r="I40" s="11">
        <v>0.02</v>
      </c>
      <c r="J40" s="7"/>
      <c r="K40" s="11"/>
      <c r="L40" s="11"/>
      <c r="M40" s="7"/>
      <c r="N40" s="11">
        <v>0.02</v>
      </c>
      <c r="U40" s="7"/>
      <c r="V40" s="7"/>
      <c r="W40" s="7"/>
      <c r="X40" s="7"/>
      <c r="Y40" s="7"/>
      <c r="Z40" s="7"/>
      <c r="AA40" s="7"/>
      <c r="AB40" s="7"/>
    </row>
    <row r="41" spans="3:46" x14ac:dyDescent="0.25">
      <c r="C41" s="10" t="s">
        <v>95</v>
      </c>
      <c r="D41" s="11">
        <v>0.03</v>
      </c>
      <c r="E41" s="11">
        <v>0.03</v>
      </c>
      <c r="F41" s="11">
        <v>0.03</v>
      </c>
      <c r="G41" s="11">
        <v>0.03</v>
      </c>
      <c r="H41" s="11">
        <v>0.03</v>
      </c>
      <c r="I41" s="11">
        <v>0.03</v>
      </c>
      <c r="K41" s="11"/>
      <c r="L41" s="11"/>
      <c r="N41" s="11">
        <v>0.03</v>
      </c>
    </row>
    <row r="42" spans="3:46" x14ac:dyDescent="0.25">
      <c r="C42" s="10" t="s">
        <v>96</v>
      </c>
      <c r="D42" s="20">
        <f>+E41+E40</f>
        <v>5.2499999999999998E-2</v>
      </c>
      <c r="E42" s="20">
        <f t="shared" ref="E42:H42" si="54">+F41+F40</f>
        <v>0.05</v>
      </c>
      <c r="F42" s="20">
        <f t="shared" si="54"/>
        <v>0.05</v>
      </c>
      <c r="G42" s="20">
        <f t="shared" si="54"/>
        <v>0.05</v>
      </c>
      <c r="H42" s="20">
        <f t="shared" si="54"/>
        <v>0.05</v>
      </c>
      <c r="I42" s="20">
        <f>+N41+N40</f>
        <v>0.05</v>
      </c>
      <c r="K42" s="20"/>
      <c r="L42" s="20"/>
      <c r="N42" s="11"/>
    </row>
    <row r="43" spans="3:46" x14ac:dyDescent="0.25">
      <c r="C43" s="10" t="s">
        <v>97</v>
      </c>
      <c r="D43" s="20"/>
      <c r="E43" s="20"/>
      <c r="F43" s="11">
        <v>-2.5000000000000001E-3</v>
      </c>
      <c r="G43" s="20"/>
      <c r="H43" s="20"/>
      <c r="I43" s="11">
        <v>-2.5000000000000001E-3</v>
      </c>
      <c r="K43" s="11"/>
      <c r="L43" s="11"/>
      <c r="N43" s="11"/>
    </row>
    <row r="45" spans="3:46" x14ac:dyDescent="0.25">
      <c r="C45" s="19" t="s">
        <v>99</v>
      </c>
      <c r="J45" s="7"/>
      <c r="M45" s="7"/>
      <c r="N45" s="7"/>
      <c r="U45" s="7"/>
      <c r="V45" s="7"/>
      <c r="W45" s="7"/>
      <c r="X45" s="7"/>
      <c r="Y45" s="7"/>
      <c r="Z45" s="7"/>
      <c r="AA45" s="7"/>
      <c r="AB45" s="7"/>
    </row>
    <row r="46" spans="3:46" x14ac:dyDescent="0.25">
      <c r="C46" s="10" t="s">
        <v>94</v>
      </c>
      <c r="D46" s="11">
        <v>2.5000000000000001E-2</v>
      </c>
      <c r="E46" s="11">
        <v>2.2499999999999999E-2</v>
      </c>
      <c r="F46" s="11">
        <v>0.02</v>
      </c>
      <c r="G46" s="11">
        <v>0.02</v>
      </c>
      <c r="H46" s="11">
        <v>0.02</v>
      </c>
      <c r="I46" s="11">
        <v>0.02</v>
      </c>
      <c r="J46" s="7"/>
      <c r="K46" s="11"/>
      <c r="L46" s="11"/>
      <c r="M46" s="7"/>
      <c r="N46" s="11">
        <v>0.02</v>
      </c>
      <c r="U46" s="7"/>
      <c r="V46" s="7"/>
      <c r="W46" s="7"/>
      <c r="X46" s="7"/>
      <c r="Y46" s="7"/>
      <c r="Z46" s="7"/>
      <c r="AA46" s="7"/>
      <c r="AB46" s="7"/>
    </row>
    <row r="47" spans="3:46" x14ac:dyDescent="0.25">
      <c r="C47" s="10" t="s">
        <v>95</v>
      </c>
      <c r="D47" s="11">
        <v>0.01</v>
      </c>
      <c r="E47" s="11">
        <v>0.01</v>
      </c>
      <c r="F47" s="11">
        <v>0.01</v>
      </c>
      <c r="G47" s="11">
        <v>0.01</v>
      </c>
      <c r="H47" s="11">
        <v>0.01</v>
      </c>
      <c r="I47" s="11">
        <v>0.01</v>
      </c>
      <c r="K47" s="11"/>
      <c r="L47" s="11"/>
      <c r="N47" s="11">
        <v>0.01</v>
      </c>
    </row>
    <row r="48" spans="3:46" x14ac:dyDescent="0.25">
      <c r="C48" s="10" t="s">
        <v>96</v>
      </c>
      <c r="D48" s="20">
        <f>+E47+E46</f>
        <v>3.2500000000000001E-2</v>
      </c>
      <c r="E48" s="20">
        <f t="shared" ref="E48:H48" si="55">+F47+F46</f>
        <v>0.03</v>
      </c>
      <c r="F48" s="20">
        <f t="shared" si="55"/>
        <v>0.03</v>
      </c>
      <c r="G48" s="20">
        <f t="shared" si="55"/>
        <v>0.03</v>
      </c>
      <c r="H48" s="20">
        <f t="shared" si="55"/>
        <v>0.03</v>
      </c>
      <c r="I48" s="20">
        <f>+N47+N46</f>
        <v>0.03</v>
      </c>
      <c r="K48" s="20"/>
      <c r="L48" s="20"/>
      <c r="N48" s="11"/>
    </row>
    <row r="49" spans="1:110" x14ac:dyDescent="0.25">
      <c r="C49" s="10" t="s">
        <v>97</v>
      </c>
      <c r="F49" s="11">
        <v>2.5000000000000001E-3</v>
      </c>
      <c r="I49" s="11">
        <v>2.5000000000000001E-3</v>
      </c>
      <c r="K49" s="11"/>
      <c r="L49" s="11"/>
    </row>
    <row r="61" spans="1:110" x14ac:dyDescent="0.25">
      <c r="W61" s="6"/>
    </row>
    <row r="62" spans="1:110" x14ac:dyDescent="0.25">
      <c r="A62">
        <f>+A61+1</f>
        <v>1</v>
      </c>
      <c r="B62" s="1" t="s">
        <v>61</v>
      </c>
      <c r="C62" s="1" t="s">
        <v>63</v>
      </c>
      <c r="D62" s="3">
        <v>4.7E-2</v>
      </c>
      <c r="E62" s="3">
        <v>0.13800000000000001</v>
      </c>
      <c r="F62" s="2">
        <f t="shared" ref="F62" si="56">+D62*(1-E62)</f>
        <v>4.0514000000000001E-2</v>
      </c>
      <c r="G62" s="4"/>
      <c r="H62" s="2">
        <f t="shared" ref="H62" si="57">DB62</f>
        <v>2.898656498097546E-2</v>
      </c>
      <c r="I62" s="2">
        <f t="shared" ref="I62" si="58">DC62</f>
        <v>0.05</v>
      </c>
      <c r="J62" s="6"/>
      <c r="K62" s="2">
        <f>+H62/(1-$E62)</f>
        <v>3.3627105546375241E-2</v>
      </c>
      <c r="L62" s="2">
        <f>+I62/(1-$E62)</f>
        <v>5.8004640371229703E-2</v>
      </c>
      <c r="M62" s="6"/>
      <c r="N62" s="2">
        <f>+AL62</f>
        <v>5.6154466420618387E-2</v>
      </c>
      <c r="O62" s="2">
        <f t="shared" ref="O62:S62" si="59">+AM62</f>
        <v>5.0284017830299899E-2</v>
      </c>
      <c r="P62" s="2">
        <f t="shared" si="59"/>
        <v>4.5634433082096137E-2</v>
      </c>
      <c r="Q62" s="2">
        <f t="shared" si="59"/>
        <v>4.1013435019024547E-2</v>
      </c>
      <c r="R62" s="2">
        <f t="shared" si="59"/>
        <v>3.7301905167307803E-2</v>
      </c>
      <c r="S62" s="2">
        <f t="shared" si="59"/>
        <v>3.4296902719685107E-2</v>
      </c>
      <c r="T62" s="2" cm="1">
        <f t="array" ref="T62">+PRODUCT(1+N62:P62)^(0.333333333333333)-1</f>
        <v>5.0682158715117609E-2</v>
      </c>
      <c r="U62" s="12" cm="1">
        <f t="array" ref="U62">+PRODUCT(1+N62:S62)^(1/6)-1</f>
        <v>4.4087271289989571E-2</v>
      </c>
      <c r="V62" s="12"/>
      <c r="W62" s="6">
        <f>Z62-($F62+T62)</f>
        <v>0.17227302673363581</v>
      </c>
      <c r="X62" s="6">
        <f>AA62-($F62+U62)</f>
        <v>-1.0293438774360342E-2</v>
      </c>
      <c r="Y62" s="12"/>
      <c r="Z62" s="6">
        <f t="shared" ref="Z62" si="60">+IRR(AZ62:BC62)</f>
        <v>0.26346918544875342</v>
      </c>
      <c r="AA62" s="6">
        <f t="shared" ref="AA62" si="61">+IRR(BE62:BK62)</f>
        <v>7.4307832515629224E-2</v>
      </c>
      <c r="AB62" s="6"/>
      <c r="AC62" s="6">
        <f>+Z62++$BR62</f>
        <v>0.27446918544875343</v>
      </c>
      <c r="AD62" s="6">
        <f>+AA62++$BR62</f>
        <v>8.530783251562922E-2</v>
      </c>
      <c r="AE62" s="6"/>
      <c r="AF62" s="6">
        <f>+(AC62-$BM62*$BN62)/(1-$BM62)</f>
        <v>0.29857687272083716</v>
      </c>
      <c r="AG62" s="6">
        <f>+(AD62-$BM62*$BN62)/(1-$BM62)</f>
        <v>8.8397591684032453E-2</v>
      </c>
      <c r="AH62" s="6"/>
      <c r="AI62" s="6">
        <f t="shared" ref="AI62" si="62">AF62-$BS62</f>
        <v>0.28857687272083715</v>
      </c>
      <c r="AJ62" s="6">
        <f t="shared" ref="AJ62" si="63">AG62-$BS62</f>
        <v>7.8397591684032458E-2</v>
      </c>
      <c r="AL62" s="3">
        <v>5.6154466420618387E-2</v>
      </c>
      <c r="AM62" s="3">
        <v>5.0284017830299899E-2</v>
      </c>
      <c r="AN62" s="3">
        <v>4.5634433082096137E-2</v>
      </c>
      <c r="AO62" s="3">
        <v>4.1013435019024547E-2</v>
      </c>
      <c r="AP62" s="3">
        <v>3.7301905167307803E-2</v>
      </c>
      <c r="AQ62" s="3">
        <v>3.4296902719685107E-2</v>
      </c>
      <c r="AR62" s="2" cm="1">
        <f t="array" ref="AR62">+PRODUCT(1+AL62:AN62)^(0.333333333333333)-1</f>
        <v>5.0682158715117609E-2</v>
      </c>
      <c r="AS62" s="12" cm="1">
        <f t="array" ref="AS62">+PRODUCT(1+AL62:AQ62)^(1/6)-1</f>
        <v>4.4087271289989571E-2</v>
      </c>
      <c r="AU62" s="3">
        <v>-6.6060000000000008E-3</v>
      </c>
      <c r="AV62" s="3">
        <v>0</v>
      </c>
      <c r="AW62" s="40"/>
      <c r="AX62" s="42">
        <v>1.4999999999999999E-2</v>
      </c>
      <c r="AZ62" s="15">
        <f t="shared" ref="AZ62" si="64">-1</f>
        <v>-1</v>
      </c>
      <c r="BA62" s="15">
        <f t="shared" ref="BA62" si="65">+F62*(1+N62)</f>
        <v>4.2789042052564938E-2</v>
      </c>
      <c r="BB62" s="15">
        <f t="shared" ref="BB62" si="66">+BA62*(1+O62)</f>
        <v>4.4940647006077562E-2</v>
      </c>
      <c r="BC62" s="15">
        <f>+BB62*(1+P62)+(BB62*(1+P62))*(1+E62)/H62</f>
        <v>1.8918569739949578</v>
      </c>
      <c r="BD62" s="15"/>
      <c r="BE62" s="15">
        <v>-1</v>
      </c>
      <c r="BF62" s="15">
        <f t="shared" ref="BF62" si="67">+F62*(1+N62)</f>
        <v>4.2789042052564938E-2</v>
      </c>
      <c r="BG62" s="15">
        <f t="shared" ref="BG62" si="68">+BF62*(1+O62)</f>
        <v>4.4940647006077562E-2</v>
      </c>
      <c r="BH62" s="15">
        <f t="shared" ref="BH62" si="69">+BG62*(1+P62)</f>
        <v>4.6991487954542513E-2</v>
      </c>
      <c r="BI62" s="15">
        <f t="shared" ref="BI62" si="70">+BH62*(1+Q62)</f>
        <v>4.891877029221342E-2</v>
      </c>
      <c r="BJ62" s="15">
        <f t="shared" ref="BJ62" si="71">+BI62*(1+R62)</f>
        <v>5.0743533622554883E-2</v>
      </c>
      <c r="BK62" s="15">
        <f>+BJ62*(1+S62)+BJ62*(1+S62)*(1+E62)/I62</f>
        <v>1.2470169806945306</v>
      </c>
      <c r="BM62" s="25">
        <v>0.1</v>
      </c>
      <c r="BN62" s="50">
        <f t="shared" ref="BN62" si="72">IF($D$25="Base",BO62,IF(D$25="High",BP62,IF(D$25="Low",BQ62,"ERR")))</f>
        <v>5.7500000000000002E-2</v>
      </c>
      <c r="BO62" s="26">
        <v>5.7500000000000002E-2</v>
      </c>
      <c r="BP62" s="26">
        <v>6.0000000000000005E-2</v>
      </c>
      <c r="BQ62" s="26">
        <v>5.5E-2</v>
      </c>
      <c r="BR62" s="26">
        <v>1.0999999999999999E-2</v>
      </c>
      <c r="BS62" s="26">
        <v>0.01</v>
      </c>
      <c r="BU62" t="e">
        <f t="shared" ref="BU62" si="73">RANK(AI62,AI$3:AI$21)</f>
        <v>#N/A</v>
      </c>
      <c r="BV62">
        <f t="shared" ref="BV62" si="74">+$A62</f>
        <v>1</v>
      </c>
      <c r="BW62" s="27">
        <v>0</v>
      </c>
      <c r="BX62" s="27">
        <v>0.3</v>
      </c>
      <c r="BY62" s="7"/>
      <c r="CB62" t="e">
        <f t="shared" ref="CB62" si="75">RANK(AJ62,AJ$3:AJ$21)</f>
        <v>#N/A</v>
      </c>
      <c r="CC62">
        <f t="shared" ref="CC62" si="76">+$A62</f>
        <v>1</v>
      </c>
      <c r="CD62" s="27">
        <v>0</v>
      </c>
      <c r="CE62" s="27">
        <v>0.3</v>
      </c>
      <c r="CJ62" s="50">
        <f t="shared" ref="CJ62" si="77">IF($D$25="Base",CK62,IF($D$25="High",CL62,IF($D$25="Low",CM62,"ERR")))</f>
        <v>3.0000000000000006E-2</v>
      </c>
      <c r="CK62" s="42">
        <v>3.0000000000000006E-2</v>
      </c>
      <c r="CL62" s="42">
        <v>3.2500000000000008E-2</v>
      </c>
      <c r="CM62" s="42">
        <v>2.7500000000000007E-2</v>
      </c>
      <c r="CN62" s="51">
        <f t="shared" ref="CN62" si="78">+$F$30+CJ62</f>
        <v>7.0000000000000007E-2</v>
      </c>
      <c r="CO62" s="51">
        <f t="shared" ref="CO62" si="79">$I$30+CJ62</f>
        <v>7.0000000000000007E-2</v>
      </c>
      <c r="CP62" s="39">
        <f t="shared" ref="CP62" si="80">+NPV(CN62,CQ62:CV62)</f>
        <v>1.0220411142048047</v>
      </c>
      <c r="CQ62">
        <f t="shared" ref="CQ62" si="81">+BF62</f>
        <v>4.2789042052564938E-2</v>
      </c>
      <c r="CR62">
        <f t="shared" ref="CR62" si="82">+BG62</f>
        <v>4.4940647006077562E-2</v>
      </c>
      <c r="CS62">
        <f t="shared" ref="CS62" si="83">+BH62</f>
        <v>4.6991487954542513E-2</v>
      </c>
      <c r="CT62">
        <f t="shared" ref="CT62" si="84">+BI62</f>
        <v>4.891877029221342E-2</v>
      </c>
      <c r="CU62">
        <f t="shared" ref="CU62" si="85">+BJ62</f>
        <v>5.0743533622554883E-2</v>
      </c>
      <c r="CV62">
        <f t="shared" ref="CV62" si="86">+BK62</f>
        <v>1.2470169806945306</v>
      </c>
      <c r="CY62" s="35">
        <f t="shared" ref="CY62" si="87">Q62</f>
        <v>4.1013435019024547E-2</v>
      </c>
      <c r="CZ62" s="35">
        <f t="shared" ref="CZ62" si="88">S62</f>
        <v>3.4296902719685107E-2</v>
      </c>
      <c r="DB62" s="6">
        <f t="shared" ref="DB62" si="89">CN62-CY62</f>
        <v>2.898656498097546E-2</v>
      </c>
      <c r="DC62" s="53">
        <v>0.05</v>
      </c>
      <c r="DE62" s="6">
        <f t="shared" ref="DE62" si="90">+DB62/(1-$E62)</f>
        <v>3.3627105546375241E-2</v>
      </c>
      <c r="DF62" s="6">
        <f t="shared" ref="DF62" si="91">+DC62/(1-$E62)</f>
        <v>5.8004640371229703E-2</v>
      </c>
    </row>
  </sheetData>
  <phoneticPr fontId="5" type="noConversion"/>
  <dataValidations count="1">
    <dataValidation type="list" allowBlank="1" showInputMessage="1" showErrorMessage="1" sqref="D25" xr:uid="{D995F8D6-0F05-40AE-99EF-506B6751C9EB}">
      <formula1>$G$25:$I$25</formula1>
    </dataValidation>
  </dataValidations>
  <pageMargins left="1.25" right="1.25" top="1" bottom="0.79166666666666696" header="0.25" footer="0.25"/>
  <pageSetup orientation="portrait" horizontalDpi="1200" verticalDpi="1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F575B-EF78-4FE7-9FDC-115A3F20C231}">
  <dimension ref="A1:O22"/>
  <sheetViews>
    <sheetView workbookViewId="0"/>
    <sheetView workbookViewId="1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15.140625" bestFit="1" customWidth="1"/>
    <col min="2" max="2" width="18.85546875" customWidth="1"/>
    <col min="3" max="3" width="23.5703125" bestFit="1" customWidth="1"/>
  </cols>
  <sheetData>
    <row r="1" spans="1:15" x14ac:dyDescent="0.25">
      <c r="D1" t="s">
        <v>89</v>
      </c>
      <c r="E1" t="s">
        <v>86</v>
      </c>
      <c r="F1" t="s">
        <v>88</v>
      </c>
      <c r="M1" t="s">
        <v>89</v>
      </c>
      <c r="N1" t="s">
        <v>86</v>
      </c>
      <c r="O1" t="s">
        <v>88</v>
      </c>
    </row>
    <row r="2" spans="1:15" x14ac:dyDescent="0.25">
      <c r="A2" s="9" t="s">
        <v>10</v>
      </c>
      <c r="B2" s="8" t="s">
        <v>11</v>
      </c>
      <c r="C2" s="8" t="s">
        <v>12</v>
      </c>
      <c r="D2" s="48" t="e">
        <f>#REF!</f>
        <v>#REF!</v>
      </c>
      <c r="E2" s="48">
        <f>Base!U23</f>
        <v>2.1248217504564293E-2</v>
      </c>
      <c r="F2" s="48" t="e">
        <f>#REF!</f>
        <v>#REF!</v>
      </c>
    </row>
    <row r="3" spans="1:15" x14ac:dyDescent="0.25">
      <c r="A3">
        <v>1</v>
      </c>
      <c r="B3" s="1" t="s">
        <v>61</v>
      </c>
      <c r="C3" s="1" t="s">
        <v>62</v>
      </c>
      <c r="D3" s="7" t="e">
        <f>#REF!</f>
        <v>#REF!</v>
      </c>
      <c r="E3" s="7">
        <f>Base!U3</f>
        <v>2.2635338968090002E-2</v>
      </c>
      <c r="F3" s="7" t="e">
        <f>+#REF!</f>
        <v>#REF!</v>
      </c>
      <c r="H3" s="6" t="e">
        <f>D3-E3</f>
        <v>#REF!</v>
      </c>
      <c r="I3" s="6" t="e">
        <f>F3-E3</f>
        <v>#REF!</v>
      </c>
      <c r="M3" t="e">
        <f>+#REF!</f>
        <v>#REF!</v>
      </c>
      <c r="N3">
        <f>Base!AD3</f>
        <v>8.5508549602551054E-2</v>
      </c>
      <c r="O3" t="e">
        <f>+#REF!</f>
        <v>#REF!</v>
      </c>
    </row>
    <row r="4" spans="1:15" x14ac:dyDescent="0.25">
      <c r="A4">
        <f>+A3+1</f>
        <v>2</v>
      </c>
      <c r="B4" s="1" t="s">
        <v>61</v>
      </c>
      <c r="C4" s="1" t="s">
        <v>63</v>
      </c>
      <c r="D4" s="7" t="e">
        <f>#REF!</f>
        <v>#REF!</v>
      </c>
      <c r="E4" s="7">
        <f>Base!U4</f>
        <v>4.3117706726426341E-2</v>
      </c>
      <c r="F4" s="7" t="e">
        <f>+#REF!</f>
        <v>#REF!</v>
      </c>
      <c r="H4" s="6" t="e">
        <f t="shared" ref="H4:H21" si="0">D4-E4</f>
        <v>#REF!</v>
      </c>
      <c r="I4" s="6" t="e">
        <f t="shared" ref="I4:I21" si="1">F4-E4</f>
        <v>#REF!</v>
      </c>
    </row>
    <row r="5" spans="1:15" x14ac:dyDescent="0.25">
      <c r="A5">
        <f t="shared" ref="A5:A21" si="2">+A4+1</f>
        <v>3</v>
      </c>
      <c r="B5" s="1" t="s">
        <v>61</v>
      </c>
      <c r="C5" s="1" t="s">
        <v>64</v>
      </c>
      <c r="D5" s="7" t="e">
        <f>#REF!</f>
        <v>#REF!</v>
      </c>
      <c r="E5" s="7">
        <f>Base!U5</f>
        <v>-4.1934372149576848E-4</v>
      </c>
      <c r="F5" s="7" t="e">
        <f>+#REF!</f>
        <v>#REF!</v>
      </c>
      <c r="H5" s="6" t="e">
        <f t="shared" si="0"/>
        <v>#REF!</v>
      </c>
      <c r="I5" s="6" t="e">
        <f t="shared" si="1"/>
        <v>#REF!</v>
      </c>
    </row>
    <row r="6" spans="1:15" x14ac:dyDescent="0.25">
      <c r="A6">
        <f t="shared" si="2"/>
        <v>4</v>
      </c>
      <c r="B6" s="1" t="s">
        <v>61</v>
      </c>
      <c r="C6" s="1" t="s">
        <v>65</v>
      </c>
      <c r="D6" s="7" t="e">
        <f>#REF!</f>
        <v>#REF!</v>
      </c>
      <c r="E6" s="7">
        <f>Base!U6</f>
        <v>1.9156755856084562E-2</v>
      </c>
      <c r="F6" s="7" t="e">
        <f>+#REF!</f>
        <v>#REF!</v>
      </c>
      <c r="H6" s="6" t="e">
        <f t="shared" si="0"/>
        <v>#REF!</v>
      </c>
      <c r="I6" s="6" t="e">
        <f t="shared" si="1"/>
        <v>#REF!</v>
      </c>
    </row>
    <row r="7" spans="1:15" x14ac:dyDescent="0.25">
      <c r="A7">
        <f t="shared" si="2"/>
        <v>5</v>
      </c>
      <c r="B7" s="1" t="s">
        <v>61</v>
      </c>
      <c r="C7" s="1" t="s">
        <v>66</v>
      </c>
      <c r="D7" s="7" t="e">
        <f>#REF!</f>
        <v>#REF!</v>
      </c>
      <c r="E7" s="7">
        <f>Base!U7</f>
        <v>2.1102178545400418E-2</v>
      </c>
      <c r="F7" s="7" t="e">
        <f>+#REF!</f>
        <v>#REF!</v>
      </c>
      <c r="H7" s="6" t="e">
        <f t="shared" si="0"/>
        <v>#REF!</v>
      </c>
      <c r="I7" s="6" t="e">
        <f t="shared" si="1"/>
        <v>#REF!</v>
      </c>
    </row>
    <row r="8" spans="1:15" x14ac:dyDescent="0.25">
      <c r="A8">
        <f t="shared" si="2"/>
        <v>6</v>
      </c>
      <c r="B8" s="1" t="s">
        <v>61</v>
      </c>
      <c r="C8" s="1" t="s">
        <v>67</v>
      </c>
      <c r="D8" s="7" t="e">
        <f>#REF!</f>
        <v>#REF!</v>
      </c>
      <c r="E8" s="7">
        <f>Base!U8</f>
        <v>4.4056457796009418E-2</v>
      </c>
      <c r="F8" s="7" t="e">
        <f>+#REF!</f>
        <v>#REF!</v>
      </c>
      <c r="H8" s="6" t="e">
        <f t="shared" si="0"/>
        <v>#REF!</v>
      </c>
      <c r="I8" s="6" t="e">
        <f t="shared" si="1"/>
        <v>#REF!</v>
      </c>
    </row>
    <row r="9" spans="1:15" x14ac:dyDescent="0.25">
      <c r="A9">
        <f t="shared" si="2"/>
        <v>7</v>
      </c>
      <c r="B9" s="1" t="s">
        <v>61</v>
      </c>
      <c r="C9" s="1" t="s">
        <v>68</v>
      </c>
      <c r="D9" s="7" t="e">
        <f>#REF!</f>
        <v>#REF!</v>
      </c>
      <c r="E9" s="7">
        <f>Base!U9</f>
        <v>1.7703070338461746E-3</v>
      </c>
      <c r="F9" s="7" t="e">
        <f>+#REF!</f>
        <v>#REF!</v>
      </c>
      <c r="H9" s="6" t="e">
        <f t="shared" si="0"/>
        <v>#REF!</v>
      </c>
      <c r="I9" s="6" t="e">
        <f t="shared" si="1"/>
        <v>#REF!</v>
      </c>
    </row>
    <row r="10" spans="1:15" x14ac:dyDescent="0.25">
      <c r="A10">
        <f t="shared" si="2"/>
        <v>8</v>
      </c>
      <c r="B10" s="1" t="s">
        <v>61</v>
      </c>
      <c r="C10" s="1" t="s">
        <v>69</v>
      </c>
      <c r="D10" s="7" t="e">
        <f>#REF!</f>
        <v>#REF!</v>
      </c>
      <c r="E10" s="7">
        <f>Base!U10</f>
        <v>1.9156755856084562E-2</v>
      </c>
      <c r="F10" s="7" t="e">
        <f>+#REF!</f>
        <v>#REF!</v>
      </c>
      <c r="H10" s="6" t="e">
        <f t="shared" si="0"/>
        <v>#REF!</v>
      </c>
      <c r="I10" s="6" t="e">
        <f t="shared" si="1"/>
        <v>#REF!</v>
      </c>
    </row>
    <row r="11" spans="1:15" x14ac:dyDescent="0.25">
      <c r="A11">
        <f t="shared" si="2"/>
        <v>9</v>
      </c>
      <c r="B11" s="1" t="s">
        <v>61</v>
      </c>
      <c r="C11" s="1" t="s">
        <v>70</v>
      </c>
      <c r="D11" s="7" t="e">
        <f>#REF!</f>
        <v>#REF!</v>
      </c>
      <c r="E11" s="7">
        <f>Base!U11</f>
        <v>4.8115354346635719E-2</v>
      </c>
      <c r="F11" s="7" t="e">
        <f>+#REF!</f>
        <v>#REF!</v>
      </c>
      <c r="H11" s="6" t="e">
        <f t="shared" si="0"/>
        <v>#REF!</v>
      </c>
      <c r="I11" s="6" t="e">
        <f t="shared" si="1"/>
        <v>#REF!</v>
      </c>
    </row>
    <row r="12" spans="1:15" x14ac:dyDescent="0.25">
      <c r="A12">
        <f t="shared" si="2"/>
        <v>10</v>
      </c>
      <c r="B12" s="1" t="s">
        <v>61</v>
      </c>
      <c r="C12" s="1" t="s">
        <v>71</v>
      </c>
      <c r="D12" s="7" t="e">
        <f>#REF!</f>
        <v>#REF!</v>
      </c>
      <c r="E12" s="7">
        <f>Base!U12</f>
        <v>4.2478226158004562E-2</v>
      </c>
      <c r="F12" s="7" t="e">
        <f>+#REF!</f>
        <v>#REF!</v>
      </c>
      <c r="H12" s="6" t="e">
        <f t="shared" si="0"/>
        <v>#REF!</v>
      </c>
      <c r="I12" s="6" t="e">
        <f t="shared" si="1"/>
        <v>#REF!</v>
      </c>
    </row>
    <row r="13" spans="1:15" x14ac:dyDescent="0.25">
      <c r="A13">
        <f t="shared" si="2"/>
        <v>11</v>
      </c>
      <c r="B13" s="1" t="s">
        <v>61</v>
      </c>
      <c r="C13" s="1" t="s">
        <v>72</v>
      </c>
      <c r="D13" s="7" t="e">
        <f>#REF!</f>
        <v>#REF!</v>
      </c>
      <c r="E13" s="7">
        <f>Base!U13</f>
        <v>5.2962115301692148E-2</v>
      </c>
      <c r="F13" s="7" t="e">
        <f>+#REF!</f>
        <v>#REF!</v>
      </c>
      <c r="H13" s="6" t="e">
        <f t="shared" si="0"/>
        <v>#REF!</v>
      </c>
      <c r="I13" s="6" t="e">
        <f t="shared" si="1"/>
        <v>#REF!</v>
      </c>
    </row>
    <row r="14" spans="1:15" x14ac:dyDescent="0.25">
      <c r="A14">
        <f t="shared" si="2"/>
        <v>12</v>
      </c>
      <c r="B14" s="1" t="s">
        <v>61</v>
      </c>
      <c r="C14" s="1" t="s">
        <v>73</v>
      </c>
      <c r="D14" s="7" t="e">
        <f>#REF!</f>
        <v>#REF!</v>
      </c>
      <c r="E14" s="7">
        <f>Base!U14</f>
        <v>5.101429644705413E-2</v>
      </c>
      <c r="F14" s="7" t="e">
        <f>+#REF!</f>
        <v>#REF!</v>
      </c>
      <c r="H14" s="6" t="e">
        <f t="shared" si="0"/>
        <v>#REF!</v>
      </c>
      <c r="I14" s="6" t="e">
        <f t="shared" si="1"/>
        <v>#REF!</v>
      </c>
    </row>
    <row r="15" spans="1:15" x14ac:dyDescent="0.25">
      <c r="A15">
        <f t="shared" si="2"/>
        <v>13</v>
      </c>
      <c r="B15" s="1" t="s">
        <v>61</v>
      </c>
      <c r="C15" s="1" t="s">
        <v>74</v>
      </c>
      <c r="D15" s="7" t="e">
        <f>#REF!</f>
        <v>#REF!</v>
      </c>
      <c r="E15" s="7">
        <f>Base!U15</f>
        <v>2.6659892279890851E-2</v>
      </c>
      <c r="F15" s="7" t="e">
        <f>+#REF!</f>
        <v>#REF!</v>
      </c>
      <c r="H15" s="6" t="e">
        <f t="shared" si="0"/>
        <v>#REF!</v>
      </c>
      <c r="I15" s="6" t="e">
        <f t="shared" si="1"/>
        <v>#REF!</v>
      </c>
    </row>
    <row r="16" spans="1:15" x14ac:dyDescent="0.25">
      <c r="A16">
        <f t="shared" si="2"/>
        <v>14</v>
      </c>
      <c r="B16" s="1" t="s">
        <v>61</v>
      </c>
      <c r="C16" s="1" t="s">
        <v>75</v>
      </c>
      <c r="D16" s="7" t="e">
        <f>#REF!</f>
        <v>#REF!</v>
      </c>
      <c r="E16" s="7">
        <f>Base!U16</f>
        <v>3.0831652771703189E-2</v>
      </c>
      <c r="F16" s="7" t="e">
        <f>+#REF!</f>
        <v>#REF!</v>
      </c>
      <c r="H16" s="6" t="e">
        <f t="shared" si="0"/>
        <v>#REF!</v>
      </c>
      <c r="I16" s="6" t="e">
        <f t="shared" si="1"/>
        <v>#REF!</v>
      </c>
    </row>
    <row r="17" spans="1:9" x14ac:dyDescent="0.25">
      <c r="A17">
        <f t="shared" si="2"/>
        <v>15</v>
      </c>
      <c r="B17" s="1" t="s">
        <v>61</v>
      </c>
      <c r="C17" s="1" t="s">
        <v>76</v>
      </c>
      <c r="D17" s="7" t="e">
        <f>#REF!</f>
        <v>#REF!</v>
      </c>
      <c r="E17" s="7">
        <f>Base!U17</f>
        <v>3.8294615780068098E-2</v>
      </c>
      <c r="F17" s="7" t="e">
        <f>+#REF!</f>
        <v>#REF!</v>
      </c>
      <c r="H17" s="6" t="e">
        <f t="shared" si="0"/>
        <v>#REF!</v>
      </c>
      <c r="I17" s="6" t="e">
        <f t="shared" si="1"/>
        <v>#REF!</v>
      </c>
    </row>
    <row r="18" spans="1:9" x14ac:dyDescent="0.25">
      <c r="A18">
        <f t="shared" si="2"/>
        <v>16</v>
      </c>
      <c r="B18" s="1" t="s">
        <v>61</v>
      </c>
      <c r="C18" s="1" t="s">
        <v>77</v>
      </c>
      <c r="D18" s="7" t="e">
        <f>#REF!</f>
        <v>#REF!</v>
      </c>
      <c r="E18" s="7">
        <f>Base!U18</f>
        <v>2.416594742417022E-2</v>
      </c>
      <c r="F18" s="7" t="e">
        <f>+#REF!</f>
        <v>#REF!</v>
      </c>
      <c r="H18" s="6" t="e">
        <f t="shared" si="0"/>
        <v>#REF!</v>
      </c>
      <c r="I18" s="6" t="e">
        <f t="shared" si="1"/>
        <v>#REF!</v>
      </c>
    </row>
    <row r="19" spans="1:9" x14ac:dyDescent="0.25">
      <c r="A19">
        <f t="shared" si="2"/>
        <v>17</v>
      </c>
      <c r="B19" s="1" t="s">
        <v>61</v>
      </c>
      <c r="C19" s="1" t="s">
        <v>78</v>
      </c>
      <c r="D19" s="7" t="e">
        <f>#REF!</f>
        <v>#REF!</v>
      </c>
      <c r="E19" s="7">
        <f>Base!U19</f>
        <v>2.7653492428079796E-2</v>
      </c>
      <c r="F19" s="7" t="e">
        <f>+#REF!</f>
        <v>#REF!</v>
      </c>
      <c r="H19" s="6" t="e">
        <f t="shared" si="0"/>
        <v>#REF!</v>
      </c>
      <c r="I19" s="6" t="e">
        <f t="shared" si="1"/>
        <v>#REF!</v>
      </c>
    </row>
    <row r="20" spans="1:9" x14ac:dyDescent="0.25">
      <c r="A20">
        <f t="shared" si="2"/>
        <v>18</v>
      </c>
      <c r="B20" s="1" t="s">
        <v>61</v>
      </c>
      <c r="C20" s="1" t="s">
        <v>79</v>
      </c>
      <c r="D20" s="7" t="e">
        <f>#REF!</f>
        <v>#REF!</v>
      </c>
      <c r="E20" s="7">
        <f>Base!U20</f>
        <v>1.6563282952569702E-2</v>
      </c>
      <c r="F20" s="7" t="e">
        <f>+#REF!</f>
        <v>#REF!</v>
      </c>
      <c r="H20" s="6" t="e">
        <f t="shared" si="0"/>
        <v>#REF!</v>
      </c>
      <c r="I20" s="6" t="e">
        <f t="shared" si="1"/>
        <v>#REF!</v>
      </c>
    </row>
    <row r="21" spans="1:9" x14ac:dyDescent="0.25">
      <c r="A21">
        <f t="shared" si="2"/>
        <v>19</v>
      </c>
      <c r="B21" s="1" t="s">
        <v>61</v>
      </c>
      <c r="C21" s="1" t="s">
        <v>80</v>
      </c>
      <c r="D21" s="7" t="e">
        <f>#REF!</f>
        <v>#REF!</v>
      </c>
      <c r="E21" s="7">
        <f>Base!U21</f>
        <v>4.4860423613933165E-2</v>
      </c>
      <c r="F21" s="7" t="e">
        <f>+#REF!</f>
        <v>#REF!</v>
      </c>
      <c r="H21" s="6" t="e">
        <f t="shared" si="0"/>
        <v>#REF!</v>
      </c>
      <c r="I21" s="6" t="e">
        <f t="shared" si="1"/>
        <v>#REF!</v>
      </c>
    </row>
    <row r="22" spans="1:9" x14ac:dyDescent="0.25">
      <c r="D22" s="7"/>
      <c r="E22" s="7"/>
      <c r="F2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CE701-94D6-40F4-B522-3A20F86FBC02}">
  <sheetPr codeName="Sheet3"/>
  <dimension ref="A1:M27"/>
  <sheetViews>
    <sheetView workbookViewId="0">
      <selection activeCell="N2" sqref="N2"/>
    </sheetView>
    <sheetView zoomScale="114" workbookViewId="1">
      <selection activeCell="E1" sqref="E1"/>
    </sheetView>
  </sheetViews>
  <sheetFormatPr defaultRowHeight="15" x14ac:dyDescent="0.25"/>
  <cols>
    <col min="2" max="2" width="23.85546875" bestFit="1" customWidth="1"/>
  </cols>
  <sheetData>
    <row r="1" spans="1:13" s="32" customFormat="1" ht="30" customHeight="1" x14ac:dyDescent="0.25">
      <c r="A1" s="32" t="s">
        <v>42</v>
      </c>
      <c r="B1" s="32" t="str">
        <f>+Base!C2</f>
        <v>Profile</v>
      </c>
      <c r="C1" s="32" t="s">
        <v>33</v>
      </c>
      <c r="D1" s="32" t="str">
        <f>+Base!AI2</f>
        <v>3  YR          IRR</v>
      </c>
      <c r="E1" s="32" t="s">
        <v>151</v>
      </c>
      <c r="F1" s="32" t="s">
        <v>152</v>
      </c>
      <c r="G1" s="32" t="s">
        <v>153</v>
      </c>
      <c r="H1" s="32" t="s">
        <v>154</v>
      </c>
      <c r="I1" s="32" t="s">
        <v>155</v>
      </c>
      <c r="J1" s="32" t="s">
        <v>156</v>
      </c>
    </row>
    <row r="2" spans="1:13" x14ac:dyDescent="0.25">
      <c r="A2">
        <f>+Base!A3</f>
        <v>1</v>
      </c>
      <c r="B2" t="str">
        <f>+Base!C3</f>
        <v>Core - Res</v>
      </c>
      <c r="C2" s="33">
        <f>Base!AX3</f>
        <v>0.01</v>
      </c>
      <c r="D2" s="7">
        <f>+Base!AI3</f>
        <v>0.25090455986373772</v>
      </c>
      <c r="E2" s="33">
        <v>0</v>
      </c>
      <c r="F2" s="33">
        <v>0.17</v>
      </c>
      <c r="G2" s="34">
        <f t="shared" ref="G2:G20" si="0">+D2/C2</f>
        <v>25.090455986373772</v>
      </c>
      <c r="H2" s="41">
        <v>0.17</v>
      </c>
      <c r="I2" s="7">
        <f>_xlfn.PERCENTRANK.INC($D$2:$D$20,D2)</f>
        <v>0.83299999999999996</v>
      </c>
      <c r="J2" s="7">
        <f>_xlfn.PERCENTRANK.INC($G$2:$G$20,G2)</f>
        <v>0.94399999999999995</v>
      </c>
      <c r="L2" s="39">
        <v>0.17</v>
      </c>
      <c r="M2" s="39">
        <v>4.28117859107763E-17</v>
      </c>
    </row>
    <row r="3" spans="1:13" x14ac:dyDescent="0.25">
      <c r="A3">
        <f>+Base!A4</f>
        <v>2</v>
      </c>
      <c r="B3" t="str">
        <f>+Base!C4</f>
        <v>Core - Ind</v>
      </c>
      <c r="C3" s="33">
        <f>Base!AX4</f>
        <v>1.4999999999999999E-2</v>
      </c>
      <c r="D3" s="7">
        <f>+Base!AI4</f>
        <v>0.14946424472706615</v>
      </c>
      <c r="E3" s="33">
        <v>0</v>
      </c>
      <c r="F3" s="33">
        <v>0.17</v>
      </c>
      <c r="G3" s="34">
        <f t="shared" si="0"/>
        <v>9.964282981804411</v>
      </c>
      <c r="H3" s="41">
        <v>8.9489355307983576E-2</v>
      </c>
      <c r="I3" s="7">
        <f t="shared" ref="I3:I20" si="1">_xlfn.PERCENTRANK.INC($D$2:$D$20,D3)</f>
        <v>0.61099999999999999</v>
      </c>
      <c r="J3" s="7">
        <f t="shared" ref="J3:J20" si="2">_xlfn.PERCENTRANK.INC($G$2:$G$20,G3)</f>
        <v>0.61099999999999999</v>
      </c>
      <c r="L3" s="39">
        <v>8.9489355307983576E-2</v>
      </c>
      <c r="M3" s="39">
        <v>0.16999999999999979</v>
      </c>
    </row>
    <row r="4" spans="1:13" x14ac:dyDescent="0.25">
      <c r="A4">
        <f>+Base!A5</f>
        <v>3</v>
      </c>
      <c r="B4" t="str">
        <f>+Base!C5</f>
        <v>Core - Off</v>
      </c>
      <c r="C4" s="33">
        <f>Base!AX5</f>
        <v>0.03</v>
      </c>
      <c r="D4" s="7">
        <f>+Base!AI5</f>
        <v>-7.7132978262232851E-2</v>
      </c>
      <c r="E4" s="33">
        <v>0</v>
      </c>
      <c r="F4" s="33">
        <v>0.05</v>
      </c>
      <c r="G4" s="34">
        <f t="shared" si="0"/>
        <v>-2.5710992754077617</v>
      </c>
      <c r="H4" s="41">
        <v>3.7160686011384567E-18</v>
      </c>
      <c r="I4" s="7">
        <f t="shared" si="1"/>
        <v>5.5E-2</v>
      </c>
      <c r="J4" s="7">
        <f t="shared" si="2"/>
        <v>0</v>
      </c>
      <c r="L4" s="39">
        <v>3.7160686011384567E-18</v>
      </c>
      <c r="M4" s="39">
        <v>0</v>
      </c>
    </row>
    <row r="5" spans="1:13" x14ac:dyDescent="0.25">
      <c r="A5">
        <f>+Base!A6</f>
        <v>4</v>
      </c>
      <c r="B5" t="str">
        <f>+Base!C6</f>
        <v>Core - Retail</v>
      </c>
      <c r="C5" s="33">
        <f>Base!AX6</f>
        <v>0.02</v>
      </c>
      <c r="D5" s="7">
        <f>+Base!AI6</f>
        <v>7.3853981293831097E-2</v>
      </c>
      <c r="E5" s="33">
        <v>0</v>
      </c>
      <c r="F5" s="33">
        <v>7.0000000000000007E-2</v>
      </c>
      <c r="G5" s="34">
        <f t="shared" si="0"/>
        <v>3.692699064691555</v>
      </c>
      <c r="H5" s="41">
        <v>1.0249304754446683E-17</v>
      </c>
      <c r="I5" s="7">
        <f t="shared" si="1"/>
        <v>0.222</v>
      </c>
      <c r="J5" s="7">
        <f t="shared" si="2"/>
        <v>0.222</v>
      </c>
      <c r="L5" s="39">
        <v>1.0249304754446683E-17</v>
      </c>
      <c r="M5" s="39">
        <v>1.5955715757211904E-16</v>
      </c>
    </row>
    <row r="6" spans="1:13" x14ac:dyDescent="0.25">
      <c r="A6">
        <f>+Base!A7</f>
        <v>5</v>
      </c>
      <c r="B6" t="str">
        <f>+Base!C7</f>
        <v>Core-Plus - Res</v>
      </c>
      <c r="C6" s="33">
        <f>Base!AX7</f>
        <v>1.2500000000000001E-2</v>
      </c>
      <c r="D6" s="7">
        <f>+Base!AI7</f>
        <v>0.2680296628426066</v>
      </c>
      <c r="E6" s="33">
        <v>0.1</v>
      </c>
      <c r="F6" s="33">
        <v>0.17</v>
      </c>
      <c r="G6" s="34">
        <f t="shared" si="0"/>
        <v>21.442373027408525</v>
      </c>
      <c r="H6" s="41">
        <v>0.17</v>
      </c>
      <c r="I6" s="7">
        <f t="shared" si="1"/>
        <v>0.88800000000000001</v>
      </c>
      <c r="J6" s="7">
        <f t="shared" si="2"/>
        <v>0.83299999999999996</v>
      </c>
      <c r="L6" s="39">
        <v>0.17</v>
      </c>
      <c r="M6" s="39">
        <v>0.1</v>
      </c>
    </row>
    <row r="7" spans="1:13" x14ac:dyDescent="0.25">
      <c r="A7">
        <f>+Base!A8</f>
        <v>6</v>
      </c>
      <c r="B7" t="str">
        <f>+Base!C8</f>
        <v>Core-Plus - Ind</v>
      </c>
      <c r="C7" s="33">
        <f>Base!AX8</f>
        <v>1.7500000000000002E-2</v>
      </c>
      <c r="D7" s="7">
        <f>+Base!AI8</f>
        <v>0.13945853288798016</v>
      </c>
      <c r="E7" s="33">
        <v>0.1</v>
      </c>
      <c r="F7" s="33">
        <v>0.17</v>
      </c>
      <c r="G7" s="34">
        <f t="shared" si="0"/>
        <v>7.9690590221702937</v>
      </c>
      <c r="H7" s="41">
        <v>0.10000000000000003</v>
      </c>
      <c r="I7" s="7">
        <f t="shared" si="1"/>
        <v>0.55500000000000005</v>
      </c>
      <c r="J7" s="7">
        <f t="shared" si="2"/>
        <v>0.44400000000000001</v>
      </c>
      <c r="L7" s="39">
        <v>0.10000000000000003</v>
      </c>
      <c r="M7" s="39">
        <v>0.16999999999999987</v>
      </c>
    </row>
    <row r="8" spans="1:13" x14ac:dyDescent="0.25">
      <c r="A8">
        <f>+Base!A9</f>
        <v>7</v>
      </c>
      <c r="B8" t="str">
        <f>+Base!C9</f>
        <v>Core-Plus - Off</v>
      </c>
      <c r="C8" s="33">
        <f>Base!AX9</f>
        <v>3.5000000000000003E-2</v>
      </c>
      <c r="D8" s="7">
        <f>+Base!AI9</f>
        <v>-8.7336844404411071E-2</v>
      </c>
      <c r="E8" s="33">
        <v>0.02</v>
      </c>
      <c r="F8" s="33">
        <v>0.05</v>
      </c>
      <c r="G8" s="34">
        <f t="shared" si="0"/>
        <v>-2.4953384115546018</v>
      </c>
      <c r="H8" s="41">
        <v>2.0000000000000056E-2</v>
      </c>
      <c r="I8" s="7">
        <f t="shared" si="1"/>
        <v>0</v>
      </c>
      <c r="J8" s="7">
        <f t="shared" si="2"/>
        <v>5.5E-2</v>
      </c>
      <c r="L8" s="39">
        <v>2.0000000000000056E-2</v>
      </c>
      <c r="M8" s="39">
        <v>0.02</v>
      </c>
    </row>
    <row r="9" spans="1:13" x14ac:dyDescent="0.25">
      <c r="A9">
        <f>+Base!A10</f>
        <v>8</v>
      </c>
      <c r="B9" t="str">
        <f>+Base!C10</f>
        <v>Core-Plus - Ret</v>
      </c>
      <c r="C9" s="33">
        <f>Base!AX10</f>
        <v>2.5000000000000001E-2</v>
      </c>
      <c r="D9" s="7">
        <f>+Base!AI10</f>
        <v>9.8085745214449252E-2</v>
      </c>
      <c r="E9" s="33">
        <v>0.03</v>
      </c>
      <c r="F9" s="33">
        <v>7.0000000000000007E-2</v>
      </c>
      <c r="G9" s="34">
        <f t="shared" si="0"/>
        <v>3.92342980857797</v>
      </c>
      <c r="H9" s="41">
        <v>3.0000000000000034E-2</v>
      </c>
      <c r="I9" s="7">
        <f t="shared" si="1"/>
        <v>0.33300000000000002</v>
      </c>
      <c r="J9" s="7">
        <f t="shared" si="2"/>
        <v>0.27700000000000002</v>
      </c>
      <c r="L9" s="39">
        <v>3.0000000000000034E-2</v>
      </c>
      <c r="M9" s="39">
        <v>3.0000000000000041E-2</v>
      </c>
    </row>
    <row r="10" spans="1:13" x14ac:dyDescent="0.25">
      <c r="A10">
        <f>+Base!A11</f>
        <v>9</v>
      </c>
      <c r="B10" t="str">
        <f>+Base!C11</f>
        <v>Data Center</v>
      </c>
      <c r="C10" s="33">
        <f>Base!AX11</f>
        <v>1.4999999999999999E-2</v>
      </c>
      <c r="D10" s="7">
        <f>+Base!AI11</f>
        <v>0.3832905602756797</v>
      </c>
      <c r="E10" s="33">
        <v>0</v>
      </c>
      <c r="F10" s="33">
        <v>7.0000000000000007E-2</v>
      </c>
      <c r="G10" s="34">
        <f t="shared" si="0"/>
        <v>25.552704018378648</v>
      </c>
      <c r="H10" s="41">
        <v>6.9999999999999743E-2</v>
      </c>
      <c r="I10" s="7">
        <f t="shared" si="1"/>
        <v>1</v>
      </c>
      <c r="J10" s="7">
        <f t="shared" si="2"/>
        <v>1</v>
      </c>
      <c r="L10" s="39">
        <v>6.9999999999999743E-2</v>
      </c>
      <c r="M10" s="39">
        <v>7.0000000000000007E-2</v>
      </c>
    </row>
    <row r="11" spans="1:13" x14ac:dyDescent="0.25">
      <c r="A11">
        <f>+Base!A12</f>
        <v>10</v>
      </c>
      <c r="B11" t="str">
        <f>+Base!C12</f>
        <v>Single-Family Rental</v>
      </c>
      <c r="C11" s="33">
        <f>Base!AX12</f>
        <v>1.4999999999999999E-2</v>
      </c>
      <c r="D11" s="7">
        <f>+Base!AI12</f>
        <v>0.22370483501419047</v>
      </c>
      <c r="E11" s="33">
        <v>0</v>
      </c>
      <c r="F11" s="33">
        <v>0.1</v>
      </c>
      <c r="G11" s="34">
        <f t="shared" si="0"/>
        <v>14.913655667612698</v>
      </c>
      <c r="H11" s="41">
        <v>0.1</v>
      </c>
      <c r="I11" s="7">
        <f t="shared" si="1"/>
        <v>0.77700000000000002</v>
      </c>
      <c r="J11" s="7">
        <f t="shared" si="2"/>
        <v>0.72199999999999998</v>
      </c>
      <c r="L11" s="39">
        <v>0.1</v>
      </c>
      <c r="M11" s="39">
        <v>9.9999999999999992E-2</v>
      </c>
    </row>
    <row r="12" spans="1:13" x14ac:dyDescent="0.25">
      <c r="A12">
        <f>+Base!A13</f>
        <v>11</v>
      </c>
      <c r="B12" t="str">
        <f>+Base!C13</f>
        <v>Cold Storage</v>
      </c>
      <c r="C12" s="33">
        <f>Base!AX13</f>
        <v>1.4999999999999999E-2</v>
      </c>
      <c r="D12" s="7">
        <f>+Base!AI13</f>
        <v>0.12203342148941572</v>
      </c>
      <c r="E12" s="33">
        <v>0</v>
      </c>
      <c r="F12" s="33">
        <v>0.05</v>
      </c>
      <c r="G12" s="34">
        <f t="shared" si="0"/>
        <v>8.1355614326277141</v>
      </c>
      <c r="H12" s="41">
        <v>4.9999997088249544E-2</v>
      </c>
      <c r="I12" s="7">
        <f t="shared" si="1"/>
        <v>0.44400000000000001</v>
      </c>
      <c r="J12" s="7">
        <f t="shared" si="2"/>
        <v>0.5</v>
      </c>
      <c r="L12" s="39">
        <v>4.9999997088249544E-2</v>
      </c>
      <c r="M12" s="39">
        <v>4.9999999999999989E-2</v>
      </c>
    </row>
    <row r="13" spans="1:13" x14ac:dyDescent="0.25">
      <c r="A13">
        <f>+Base!A14</f>
        <v>12</v>
      </c>
      <c r="B13" t="str">
        <f>+Base!C14</f>
        <v>Senior Housing</v>
      </c>
      <c r="C13" s="33">
        <f>Base!AX14</f>
        <v>1.2500000000000001E-2</v>
      </c>
      <c r="D13" s="7">
        <f>+Base!AI14</f>
        <v>0.2865667795188836</v>
      </c>
      <c r="E13" s="33">
        <v>0</v>
      </c>
      <c r="F13" s="33">
        <v>0.05</v>
      </c>
      <c r="G13" s="34">
        <f t="shared" si="0"/>
        <v>22.925342361510687</v>
      </c>
      <c r="H13" s="41">
        <v>4.9999999999999989E-2</v>
      </c>
      <c r="I13" s="7">
        <f t="shared" si="1"/>
        <v>0.94399999999999995</v>
      </c>
      <c r="J13" s="7">
        <f t="shared" si="2"/>
        <v>0.88800000000000001</v>
      </c>
      <c r="L13" s="39">
        <v>4.9999999999999989E-2</v>
      </c>
      <c r="M13" s="39">
        <v>4.9999999999999975E-2</v>
      </c>
    </row>
    <row r="14" spans="1:13" x14ac:dyDescent="0.25">
      <c r="A14">
        <f>+Base!A15</f>
        <v>13</v>
      </c>
      <c r="B14" t="str">
        <f>+Base!C15</f>
        <v>Student Housing</v>
      </c>
      <c r="C14" s="33">
        <f>Base!AX15</f>
        <v>1.4999999999999999E-2</v>
      </c>
      <c r="D14" s="7">
        <f>+Base!AI15</f>
        <v>0.15464525169576443</v>
      </c>
      <c r="E14" s="33">
        <v>0</v>
      </c>
      <c r="F14" s="33">
        <v>0.05</v>
      </c>
      <c r="G14" s="34">
        <f t="shared" si="0"/>
        <v>10.309683446384296</v>
      </c>
      <c r="H14" s="41">
        <v>4.9999349087985798E-2</v>
      </c>
      <c r="I14" s="7">
        <f t="shared" si="1"/>
        <v>0.66600000000000004</v>
      </c>
      <c r="J14" s="7">
        <f t="shared" si="2"/>
        <v>0.66600000000000004</v>
      </c>
      <c r="L14" s="39">
        <v>4.9999349087985798E-2</v>
      </c>
      <c r="M14" s="39">
        <v>4.9999999999999989E-2</v>
      </c>
    </row>
    <row r="15" spans="1:13" x14ac:dyDescent="0.25">
      <c r="A15">
        <f>+Base!A16</f>
        <v>14</v>
      </c>
      <c r="B15" t="str">
        <f>+Base!C16</f>
        <v>Affordable Housing</v>
      </c>
      <c r="C15" s="33">
        <f>Base!AX16</f>
        <v>0.01</v>
      </c>
      <c r="D15" s="7">
        <f>+Base!AI16</f>
        <v>0.19316842150681862</v>
      </c>
      <c r="E15" s="33">
        <v>0</v>
      </c>
      <c r="F15" s="33">
        <v>0.05</v>
      </c>
      <c r="G15" s="34">
        <f t="shared" si="0"/>
        <v>19.316842150681861</v>
      </c>
      <c r="H15" s="41">
        <v>0.05</v>
      </c>
      <c r="I15" s="7">
        <f t="shared" si="1"/>
        <v>0.72199999999999998</v>
      </c>
      <c r="J15" s="7">
        <f t="shared" si="2"/>
        <v>0.77700000000000002</v>
      </c>
      <c r="L15" s="39">
        <v>0.05</v>
      </c>
      <c r="M15" s="39">
        <v>0.05</v>
      </c>
    </row>
    <row r="16" spans="1:13" x14ac:dyDescent="0.25">
      <c r="A16">
        <f>+Base!A17</f>
        <v>15</v>
      </c>
      <c r="B16" t="str">
        <f>+Base!C17</f>
        <v>Manufactured Home Park</v>
      </c>
      <c r="C16" s="33">
        <f>Base!AX17</f>
        <v>1.2500000000000001E-2</v>
      </c>
      <c r="D16" s="7">
        <f>+Base!AI17</f>
        <v>6.6775838152175762E-2</v>
      </c>
      <c r="E16" s="33">
        <v>0</v>
      </c>
      <c r="F16" s="33">
        <v>0.05</v>
      </c>
      <c r="G16" s="34">
        <f t="shared" si="0"/>
        <v>5.3420670521740607</v>
      </c>
      <c r="H16" s="41">
        <v>4.9999999999999982E-2</v>
      </c>
      <c r="I16" s="7">
        <f t="shared" si="1"/>
        <v>0.16600000000000001</v>
      </c>
      <c r="J16" s="7">
        <f t="shared" si="2"/>
        <v>0.33300000000000002</v>
      </c>
      <c r="L16" s="39">
        <v>4.9999999999999982E-2</v>
      </c>
      <c r="M16" s="39">
        <v>0.05</v>
      </c>
    </row>
    <row r="17" spans="1:13" x14ac:dyDescent="0.25">
      <c r="A17">
        <f>+Base!A18</f>
        <v>16</v>
      </c>
      <c r="B17" t="str">
        <f>+Base!C18</f>
        <v>Medical Office</v>
      </c>
      <c r="C17" s="33">
        <f>Base!AX18</f>
        <v>1.4999999999999999E-2</v>
      </c>
      <c r="D17" s="7">
        <f>+Base!AI18</f>
        <v>0.1356131519412152</v>
      </c>
      <c r="E17" s="33">
        <v>0</v>
      </c>
      <c r="F17" s="33">
        <v>0.05</v>
      </c>
      <c r="G17" s="34">
        <f t="shared" si="0"/>
        <v>9.0408767960810135</v>
      </c>
      <c r="H17" s="41">
        <v>1.2525385832705424E-17</v>
      </c>
      <c r="I17" s="7">
        <f t="shared" si="1"/>
        <v>0.5</v>
      </c>
      <c r="J17" s="7">
        <f t="shared" si="2"/>
        <v>0.55500000000000005</v>
      </c>
      <c r="L17" s="39">
        <v>1.2525385832705424E-17</v>
      </c>
      <c r="M17" s="39">
        <v>0</v>
      </c>
    </row>
    <row r="18" spans="1:13" x14ac:dyDescent="0.25">
      <c r="A18">
        <f>+Base!A19</f>
        <v>17</v>
      </c>
      <c r="B18" t="str">
        <f>+Base!C19</f>
        <v>Life Science</v>
      </c>
      <c r="C18" s="33">
        <f>Base!AX19</f>
        <v>2.5000000000000001E-2</v>
      </c>
      <c r="D18" s="7">
        <f>+Base!AI19</f>
        <v>8.0228622344496361E-2</v>
      </c>
      <c r="E18" s="33">
        <v>0</v>
      </c>
      <c r="F18" s="33">
        <v>0.05</v>
      </c>
      <c r="G18" s="34">
        <f t="shared" si="0"/>
        <v>3.2091448937798543</v>
      </c>
      <c r="H18" s="41">
        <v>3.1301709905934973E-17</v>
      </c>
      <c r="I18" s="7">
        <f t="shared" si="1"/>
        <v>0.27700000000000002</v>
      </c>
      <c r="J18" s="7">
        <f t="shared" si="2"/>
        <v>0.16600000000000001</v>
      </c>
      <c r="L18" s="39">
        <v>3.1301709905934973E-17</v>
      </c>
      <c r="M18" s="39">
        <v>4.0000000000000167E-2</v>
      </c>
    </row>
    <row r="19" spans="1:13" x14ac:dyDescent="0.25">
      <c r="A19">
        <f>+Base!A20</f>
        <v>18</v>
      </c>
      <c r="B19" t="str">
        <f>+Base!C20</f>
        <v>Self-Storage</v>
      </c>
      <c r="C19" s="33">
        <f>Base!AX20</f>
        <v>0.02</v>
      </c>
      <c r="D19" s="7">
        <f>+Base!AI20</f>
        <v>1.7887781483563465E-2</v>
      </c>
      <c r="E19" s="33">
        <v>0</v>
      </c>
      <c r="F19" s="33">
        <v>0.05</v>
      </c>
      <c r="G19" s="34">
        <f t="shared" si="0"/>
        <v>0.89438907417817326</v>
      </c>
      <c r="H19" s="41">
        <v>6.7611686342523285E-18</v>
      </c>
      <c r="I19" s="7">
        <f t="shared" si="1"/>
        <v>0.111</v>
      </c>
      <c r="J19" s="7">
        <f t="shared" si="2"/>
        <v>0.111</v>
      </c>
      <c r="L19" s="39">
        <v>6.7611686342523285E-18</v>
      </c>
      <c r="M19" s="39">
        <v>1.0462306873244806E-16</v>
      </c>
    </row>
    <row r="20" spans="1:13" x14ac:dyDescent="0.25">
      <c r="A20">
        <f>+Base!A21</f>
        <v>19</v>
      </c>
      <c r="B20" t="str">
        <f>+Base!C21</f>
        <v>IOS</v>
      </c>
      <c r="C20" s="33">
        <f>Base!AX21</f>
        <v>1.7500000000000002E-2</v>
      </c>
      <c r="D20" s="7">
        <f>+Base!AI21</f>
        <v>0.10913091648918417</v>
      </c>
      <c r="E20" s="33">
        <v>0</v>
      </c>
      <c r="F20" s="33">
        <v>0.05</v>
      </c>
      <c r="G20" s="34">
        <f t="shared" si="0"/>
        <v>6.2360523708105235</v>
      </c>
      <c r="H20" s="41">
        <v>2.016880027335511E-17</v>
      </c>
      <c r="I20" s="7">
        <f t="shared" si="1"/>
        <v>0.38800000000000001</v>
      </c>
      <c r="J20" s="7">
        <f t="shared" si="2"/>
        <v>0.38800000000000001</v>
      </c>
      <c r="L20" s="39">
        <v>2.016880027335511E-17</v>
      </c>
      <c r="M20" s="39">
        <v>4.9999999999999996E-2</v>
      </c>
    </row>
    <row r="22" spans="1:13" x14ac:dyDescent="0.25">
      <c r="A22">
        <f>+COUNT(A2:A20)</f>
        <v>19</v>
      </c>
    </row>
    <row r="24" spans="1:13" x14ac:dyDescent="0.25">
      <c r="D24" t="s">
        <v>157</v>
      </c>
      <c r="E24" s="38">
        <f>SUMPRODUCT(D2:D20,H2:H20)</f>
        <v>0.20709617284252793</v>
      </c>
      <c r="F24" s="33">
        <v>6.9779102193426423E-2</v>
      </c>
    </row>
    <row r="25" spans="1:13" x14ac:dyDescent="0.25">
      <c r="D25" t="s">
        <v>158</v>
      </c>
      <c r="E25" s="11">
        <v>1.7500000000000002E-2</v>
      </c>
      <c r="F25" s="33">
        <v>1.4167330522263284E-2</v>
      </c>
      <c r="L25" s="11">
        <v>1.4E-2</v>
      </c>
      <c r="M25" s="11">
        <v>1.7500000000000002E-2</v>
      </c>
    </row>
    <row r="26" spans="1:13" x14ac:dyDescent="0.25">
      <c r="D26" t="s">
        <v>159</v>
      </c>
      <c r="E26" s="36">
        <v>8</v>
      </c>
    </row>
    <row r="27" spans="1:13" x14ac:dyDescent="0.25">
      <c r="D27" t="s">
        <v>160</v>
      </c>
      <c r="E27" s="37">
        <v>0.03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AB1A9-EB0F-4BE6-940A-8A35338D0CF0}">
  <sheetPr codeName="Sheet4"/>
  <dimension ref="A1:J51"/>
  <sheetViews>
    <sheetView topLeftCell="A19" workbookViewId="0">
      <selection activeCell="E26" sqref="E26"/>
    </sheetView>
    <sheetView workbookViewId="1">
      <selection activeCell="D3" sqref="D3"/>
    </sheetView>
  </sheetViews>
  <sheetFormatPr defaultRowHeight="15" x14ac:dyDescent="0.25"/>
  <sheetData>
    <row r="1" spans="1:10" x14ac:dyDescent="0.25">
      <c r="A1" t="s">
        <v>161</v>
      </c>
    </row>
    <row r="2" spans="1:10" s="28" customFormat="1" x14ac:dyDescent="0.25">
      <c r="A2" s="28" t="s">
        <v>162</v>
      </c>
      <c r="B2" s="28" t="s">
        <v>42</v>
      </c>
      <c r="C2" s="28" t="s">
        <v>43</v>
      </c>
      <c r="D2" s="28" t="s">
        <v>44</v>
      </c>
      <c r="E2" s="28" t="s">
        <v>163</v>
      </c>
      <c r="F2" s="28" t="s">
        <v>164</v>
      </c>
      <c r="G2" s="28" t="s">
        <v>165</v>
      </c>
      <c r="I2" s="28" t="s">
        <v>45</v>
      </c>
      <c r="J2" s="28" t="s">
        <v>46</v>
      </c>
    </row>
    <row r="3" spans="1:10" x14ac:dyDescent="0.25">
      <c r="A3">
        <v>1</v>
      </c>
      <c r="B3">
        <f>VLOOKUP(A3,Base!$BU$3:$BV$21,2,FALSE)</f>
        <v>9</v>
      </c>
      <c r="C3" s="7">
        <f>+VLOOKUP(B3,Base!$BV$3:$BW$21,2,FALSE)</f>
        <v>0.05</v>
      </c>
      <c r="D3" s="7">
        <f>+VLOOKUP(B3,Base!$BV$3:$BX$21,3,FALSE)</f>
        <v>0.15</v>
      </c>
      <c r="E3" s="6">
        <f t="shared" ref="E3:E21" si="0">+($E$26-1)*C3</f>
        <v>0.05</v>
      </c>
      <c r="F3" s="6">
        <f>+E3</f>
        <v>0.05</v>
      </c>
      <c r="G3" s="6">
        <f t="shared" ref="G3:G20" si="1">+IF(F3&lt;(1-$C$23),E3,IF(((1-$C$23)-F2)&gt;0,((1-$C$23)-F2),0))</f>
        <v>0.05</v>
      </c>
      <c r="H3" s="6" t="str">
        <f>+VLOOKUP(B3,Base!$A$3:$C$21,3,FALSE)</f>
        <v>Data Center</v>
      </c>
      <c r="I3" s="6">
        <f t="shared" ref="I3:I21" si="2">+C3+G3</f>
        <v>0.1</v>
      </c>
      <c r="J3">
        <f>+IF(I3&gt;D3,1,0)</f>
        <v>0</v>
      </c>
    </row>
    <row r="4" spans="1:10" x14ac:dyDescent="0.25">
      <c r="A4">
        <f>+A3+1</f>
        <v>2</v>
      </c>
      <c r="B4">
        <f>VLOOKUP(A4,Base!$BU$3:$BV$21,2,FALSE)</f>
        <v>12</v>
      </c>
      <c r="C4" s="7">
        <f>+VLOOKUP(B4,Base!$BV$3:$BW$21,2,FALSE)</f>
        <v>0.02</v>
      </c>
      <c r="D4" s="7">
        <f>+VLOOKUP(B4,Base!$BV$3:$BX$21,3,FALSE)</f>
        <v>0.1</v>
      </c>
      <c r="E4" s="6">
        <f t="shared" si="0"/>
        <v>0.02</v>
      </c>
      <c r="F4" s="6">
        <f>+F3+E4</f>
        <v>7.0000000000000007E-2</v>
      </c>
      <c r="G4" s="6">
        <f t="shared" si="1"/>
        <v>0.02</v>
      </c>
      <c r="H4" s="6" t="str">
        <f>+VLOOKUP(B4,Base!$A$3:$C$21,3,FALSE)</f>
        <v>Senior Housing</v>
      </c>
      <c r="I4" s="6">
        <f t="shared" si="2"/>
        <v>0.04</v>
      </c>
      <c r="J4">
        <f t="shared" ref="J4:J21" si="3">+IF(I4&gt;D4,1,0)</f>
        <v>0</v>
      </c>
    </row>
    <row r="5" spans="1:10" x14ac:dyDescent="0.25">
      <c r="A5">
        <f t="shared" ref="A5:A20" si="4">+A4+1</f>
        <v>3</v>
      </c>
      <c r="B5">
        <f>VLOOKUP(A5,Base!$BU$3:$BV$21,2,FALSE)</f>
        <v>5</v>
      </c>
      <c r="C5" s="7">
        <f>+VLOOKUP(B5,Base!$BV$3:$BW$21,2,FALSE)</f>
        <v>0.15</v>
      </c>
      <c r="D5" s="7">
        <f>+VLOOKUP(B5,Base!$BV$3:$BX$21,3,FALSE)</f>
        <v>0.3</v>
      </c>
      <c r="E5" s="6">
        <f t="shared" si="0"/>
        <v>0.15</v>
      </c>
      <c r="F5" s="6">
        <f t="shared" ref="F5:F21" si="5">+F4+E5</f>
        <v>0.22</v>
      </c>
      <c r="G5" s="6">
        <f t="shared" si="1"/>
        <v>0.15</v>
      </c>
      <c r="H5" s="6" t="str">
        <f>+VLOOKUP(B5,Base!$A$3:$C$21,3,FALSE)</f>
        <v>Core-Plus - Res</v>
      </c>
      <c r="I5" s="6">
        <f t="shared" si="2"/>
        <v>0.3</v>
      </c>
      <c r="J5">
        <f t="shared" si="3"/>
        <v>0</v>
      </c>
    </row>
    <row r="6" spans="1:10" x14ac:dyDescent="0.25">
      <c r="A6">
        <f t="shared" si="4"/>
        <v>4</v>
      </c>
      <c r="B6">
        <f>VLOOKUP(A6,Base!$BU$3:$BV$21,2,FALSE)</f>
        <v>1</v>
      </c>
      <c r="C6" s="7">
        <f>+VLOOKUP(B6,Base!$BV$3:$BW$21,2,FALSE)</f>
        <v>0</v>
      </c>
      <c r="D6" s="7">
        <f>+VLOOKUP(B6,Base!$BV$3:$BX$21,3,FALSE)</f>
        <v>0.3</v>
      </c>
      <c r="E6" s="6">
        <f t="shared" si="0"/>
        <v>0</v>
      </c>
      <c r="F6" s="6">
        <f t="shared" si="5"/>
        <v>0.22</v>
      </c>
      <c r="G6" s="6">
        <f t="shared" si="1"/>
        <v>0</v>
      </c>
      <c r="H6" s="6" t="str">
        <f>+VLOOKUP(B6,Base!$A$3:$C$21,3,FALSE)</f>
        <v>Core - Res</v>
      </c>
      <c r="I6" s="6">
        <f t="shared" si="2"/>
        <v>0</v>
      </c>
      <c r="J6">
        <f t="shared" si="3"/>
        <v>0</v>
      </c>
    </row>
    <row r="7" spans="1:10" x14ac:dyDescent="0.25">
      <c r="A7">
        <f t="shared" si="4"/>
        <v>5</v>
      </c>
      <c r="B7">
        <f>VLOOKUP(A7,Base!$BU$3:$BV$21,2,FALSE)</f>
        <v>10</v>
      </c>
      <c r="C7" s="7">
        <f>+VLOOKUP(B7,Base!$BV$3:$BW$21,2,FALSE)</f>
        <v>0.05</v>
      </c>
      <c r="D7" s="7">
        <f>+VLOOKUP(B7,Base!$BV$3:$BX$21,3,FALSE)</f>
        <v>0.15</v>
      </c>
      <c r="E7" s="6">
        <f t="shared" si="0"/>
        <v>0.05</v>
      </c>
      <c r="F7" s="6">
        <f t="shared" si="5"/>
        <v>0.27</v>
      </c>
      <c r="G7" s="6">
        <f t="shared" si="1"/>
        <v>0.05</v>
      </c>
      <c r="H7" s="6" t="str">
        <f>+VLOOKUP(B7,Base!$A$3:$C$21,3,FALSE)</f>
        <v>Single-Family Rental</v>
      </c>
      <c r="I7" s="6">
        <f t="shared" si="2"/>
        <v>0.1</v>
      </c>
      <c r="J7">
        <f t="shared" si="3"/>
        <v>0</v>
      </c>
    </row>
    <row r="8" spans="1:10" x14ac:dyDescent="0.25">
      <c r="A8">
        <f t="shared" si="4"/>
        <v>6</v>
      </c>
      <c r="B8">
        <f>VLOOKUP(A8,Base!$BU$3:$BV$21,2,FALSE)</f>
        <v>14</v>
      </c>
      <c r="C8" s="7">
        <f>+VLOOKUP(B8,Base!$BV$3:$BW$21,2,FALSE)</f>
        <v>0.01</v>
      </c>
      <c r="D8" s="7">
        <f>+VLOOKUP(B8,Base!$BV$3:$BX$21,3,FALSE)</f>
        <v>7.0000000000000007E-2</v>
      </c>
      <c r="E8" s="6">
        <f t="shared" si="0"/>
        <v>0.01</v>
      </c>
      <c r="F8" s="6">
        <f t="shared" si="5"/>
        <v>0.28000000000000003</v>
      </c>
      <c r="G8" s="6">
        <f t="shared" si="1"/>
        <v>0.01</v>
      </c>
      <c r="H8" s="6" t="str">
        <f>+VLOOKUP(B8,Base!$A$3:$C$21,3,FALSE)</f>
        <v>Affordable Housing</v>
      </c>
      <c r="I8" s="6">
        <f t="shared" si="2"/>
        <v>0.02</v>
      </c>
      <c r="J8">
        <f t="shared" si="3"/>
        <v>0</v>
      </c>
    </row>
    <row r="9" spans="1:10" x14ac:dyDescent="0.25">
      <c r="A9">
        <f t="shared" si="4"/>
        <v>7</v>
      </c>
      <c r="B9">
        <f>VLOOKUP(A9,Base!$BU$3:$BV$21,2,FALSE)</f>
        <v>13</v>
      </c>
      <c r="C9" s="7">
        <f>+VLOOKUP(B9,Base!$BV$3:$BW$21,2,FALSE)</f>
        <v>0.02</v>
      </c>
      <c r="D9" s="7">
        <f>+VLOOKUP(B9,Base!$BV$3:$BX$21,3,FALSE)</f>
        <v>0.1</v>
      </c>
      <c r="E9" s="6">
        <f t="shared" si="0"/>
        <v>0.02</v>
      </c>
      <c r="F9" s="6">
        <f t="shared" si="5"/>
        <v>0.30000000000000004</v>
      </c>
      <c r="G9" s="6">
        <f t="shared" si="1"/>
        <v>0.02</v>
      </c>
      <c r="H9" s="6" t="str">
        <f>+VLOOKUP(B9,Base!$A$3:$C$21,3,FALSE)</f>
        <v>Student Housing</v>
      </c>
      <c r="I9" s="6">
        <f t="shared" si="2"/>
        <v>0.04</v>
      </c>
      <c r="J9">
        <f t="shared" si="3"/>
        <v>0</v>
      </c>
    </row>
    <row r="10" spans="1:10" x14ac:dyDescent="0.25">
      <c r="A10">
        <f t="shared" si="4"/>
        <v>8</v>
      </c>
      <c r="B10">
        <f>VLOOKUP(A10,Base!$BU$3:$BV$21,2,FALSE)</f>
        <v>2</v>
      </c>
      <c r="C10" s="7">
        <f>+VLOOKUP(B10,Base!$BV$3:$BW$21,2,FALSE)</f>
        <v>0</v>
      </c>
      <c r="D10" s="7">
        <f>+VLOOKUP(B10,Base!$BV$3:$BX$21,3,FALSE)</f>
        <v>0.3</v>
      </c>
      <c r="E10" s="6">
        <f t="shared" si="0"/>
        <v>0</v>
      </c>
      <c r="F10" s="6">
        <f t="shared" si="5"/>
        <v>0.30000000000000004</v>
      </c>
      <c r="G10" s="6">
        <f t="shared" si="1"/>
        <v>0</v>
      </c>
      <c r="H10" s="6" t="str">
        <f>+VLOOKUP(B10,Base!$A$3:$C$21,3,FALSE)</f>
        <v>Core - Ind</v>
      </c>
      <c r="I10" s="6">
        <f t="shared" si="2"/>
        <v>0</v>
      </c>
      <c r="J10">
        <f t="shared" si="3"/>
        <v>0</v>
      </c>
    </row>
    <row r="11" spans="1:10" x14ac:dyDescent="0.25">
      <c r="A11">
        <f t="shared" si="4"/>
        <v>9</v>
      </c>
      <c r="B11">
        <f>VLOOKUP(A11,Base!$BU$3:$BV$21,2,FALSE)</f>
        <v>6</v>
      </c>
      <c r="C11" s="7">
        <f>+VLOOKUP(B11,Base!$BV$3:$BW$21,2,FALSE)</f>
        <v>0.15</v>
      </c>
      <c r="D11" s="7">
        <f>+VLOOKUP(B11,Base!$BV$3:$BX$21,3,FALSE)</f>
        <v>0.3</v>
      </c>
      <c r="E11" s="6">
        <f t="shared" si="0"/>
        <v>0.15</v>
      </c>
      <c r="F11" s="6">
        <f t="shared" si="5"/>
        <v>0.45000000000000007</v>
      </c>
      <c r="G11" s="6">
        <f t="shared" si="1"/>
        <v>7.9999999999999738E-2</v>
      </c>
      <c r="H11" s="6" t="str">
        <f>+VLOOKUP(B11,Base!$A$3:$C$21,3,FALSE)</f>
        <v>Core-Plus - Ind</v>
      </c>
      <c r="I11" s="6">
        <f t="shared" si="2"/>
        <v>0.22999999999999973</v>
      </c>
      <c r="J11">
        <f t="shared" si="3"/>
        <v>0</v>
      </c>
    </row>
    <row r="12" spans="1:10" x14ac:dyDescent="0.25">
      <c r="A12">
        <f t="shared" si="4"/>
        <v>10</v>
      </c>
      <c r="B12">
        <f>VLOOKUP(A12,Base!$BU$3:$BV$21,2,FALSE)</f>
        <v>16</v>
      </c>
      <c r="C12" s="7">
        <f>+VLOOKUP(B12,Base!$BV$3:$BW$21,2,FALSE)</f>
        <v>0.01</v>
      </c>
      <c r="D12" s="7">
        <f>+VLOOKUP(B12,Base!$BV$3:$BX$21,3,FALSE)</f>
        <v>7.0000000000000007E-2</v>
      </c>
      <c r="E12" s="6">
        <f t="shared" si="0"/>
        <v>0.01</v>
      </c>
      <c r="F12" s="6">
        <f t="shared" si="5"/>
        <v>0.46000000000000008</v>
      </c>
      <c r="G12" s="6">
        <f t="shared" si="1"/>
        <v>0</v>
      </c>
      <c r="H12" s="6" t="str">
        <f>+VLOOKUP(B12,Base!$A$3:$C$21,3,FALSE)</f>
        <v>Medical Office</v>
      </c>
      <c r="I12" s="6">
        <f t="shared" si="2"/>
        <v>0.01</v>
      </c>
      <c r="J12">
        <f t="shared" si="3"/>
        <v>0</v>
      </c>
    </row>
    <row r="13" spans="1:10" x14ac:dyDescent="0.25">
      <c r="A13">
        <f t="shared" si="4"/>
        <v>11</v>
      </c>
      <c r="B13">
        <f>VLOOKUP(A13,Base!$BU$3:$BV$21,2,FALSE)</f>
        <v>11</v>
      </c>
      <c r="C13" s="7">
        <f>+VLOOKUP(B13,Base!$BV$3:$BW$21,2,FALSE)</f>
        <v>0.02</v>
      </c>
      <c r="D13" s="7">
        <f>+VLOOKUP(B13,Base!$BV$3:$BX$21,3,FALSE)</f>
        <v>0.1</v>
      </c>
      <c r="E13" s="6">
        <f t="shared" si="0"/>
        <v>0.02</v>
      </c>
      <c r="F13" s="6">
        <f t="shared" si="5"/>
        <v>0.48000000000000009</v>
      </c>
      <c r="G13" s="6">
        <f t="shared" si="1"/>
        <v>0</v>
      </c>
      <c r="H13" s="6" t="str">
        <f>+VLOOKUP(B13,Base!$A$3:$C$21,3,FALSE)</f>
        <v>Cold Storage</v>
      </c>
      <c r="I13" s="6">
        <f t="shared" si="2"/>
        <v>0.02</v>
      </c>
      <c r="J13">
        <f t="shared" si="3"/>
        <v>0</v>
      </c>
    </row>
    <row r="14" spans="1:10" x14ac:dyDescent="0.25">
      <c r="A14">
        <f t="shared" si="4"/>
        <v>12</v>
      </c>
      <c r="B14">
        <f>VLOOKUP(A14,Base!$BU$3:$BV$21,2,FALSE)</f>
        <v>19</v>
      </c>
      <c r="C14" s="7">
        <f>+VLOOKUP(B14,Base!$BV$3:$BW$21,2,FALSE)</f>
        <v>0.01</v>
      </c>
      <c r="D14" s="7">
        <f>+VLOOKUP(B14,Base!$BV$3:$BX$21,3,FALSE)</f>
        <v>7.0000000000000007E-2</v>
      </c>
      <c r="E14" s="6">
        <f t="shared" si="0"/>
        <v>0.01</v>
      </c>
      <c r="F14" s="6">
        <f t="shared" si="5"/>
        <v>0.4900000000000001</v>
      </c>
      <c r="G14" s="6">
        <f t="shared" si="1"/>
        <v>0</v>
      </c>
      <c r="H14" s="6" t="str">
        <f>+VLOOKUP(B14,Base!$A$3:$C$21,3,FALSE)</f>
        <v>IOS</v>
      </c>
      <c r="I14" s="6">
        <f t="shared" si="2"/>
        <v>0.01</v>
      </c>
      <c r="J14">
        <f t="shared" si="3"/>
        <v>0</v>
      </c>
    </row>
    <row r="15" spans="1:10" x14ac:dyDescent="0.25">
      <c r="A15">
        <f t="shared" si="4"/>
        <v>13</v>
      </c>
      <c r="B15">
        <f>VLOOKUP(A15,Base!$BU$3:$BV$21,2,FALSE)</f>
        <v>8</v>
      </c>
      <c r="C15" s="7">
        <f>+VLOOKUP(B15,Base!$BV$3:$BW$21,2,FALSE)</f>
        <v>0.05</v>
      </c>
      <c r="D15" s="7">
        <f>+VLOOKUP(B15,Base!$BV$3:$BX$21,3,FALSE)</f>
        <v>0.15</v>
      </c>
      <c r="E15" s="6">
        <f t="shared" si="0"/>
        <v>0.05</v>
      </c>
      <c r="F15" s="6">
        <f t="shared" si="5"/>
        <v>0.54000000000000015</v>
      </c>
      <c r="G15" s="6">
        <f t="shared" si="1"/>
        <v>0</v>
      </c>
      <c r="H15" s="6" t="str">
        <f>+VLOOKUP(B15,Base!$A$3:$C$21,3,FALSE)</f>
        <v>Core-Plus - Ret</v>
      </c>
      <c r="I15" s="6">
        <f t="shared" si="2"/>
        <v>0.05</v>
      </c>
      <c r="J15">
        <f t="shared" si="3"/>
        <v>0</v>
      </c>
    </row>
    <row r="16" spans="1:10" x14ac:dyDescent="0.25">
      <c r="A16">
        <f t="shared" si="4"/>
        <v>14</v>
      </c>
      <c r="B16">
        <f>VLOOKUP(A16,Base!$BU$3:$BV$21,2,FALSE)</f>
        <v>17</v>
      </c>
      <c r="C16" s="7">
        <f>+VLOOKUP(B16,Base!$BV$3:$BW$21,2,FALSE)</f>
        <v>0.01</v>
      </c>
      <c r="D16" s="7">
        <f>+VLOOKUP(B16,Base!$BV$3:$BX$21,3,FALSE)</f>
        <v>7.0000000000000007E-2</v>
      </c>
      <c r="E16" s="6">
        <f t="shared" si="0"/>
        <v>0.01</v>
      </c>
      <c r="F16" s="6">
        <f t="shared" si="5"/>
        <v>0.55000000000000016</v>
      </c>
      <c r="G16" s="6">
        <f t="shared" si="1"/>
        <v>0</v>
      </c>
      <c r="H16" s="6" t="str">
        <f>+VLOOKUP(B16,Base!$A$3:$C$21,3,FALSE)</f>
        <v>Life Science</v>
      </c>
      <c r="I16" s="6">
        <f t="shared" si="2"/>
        <v>0.01</v>
      </c>
      <c r="J16">
        <f t="shared" si="3"/>
        <v>0</v>
      </c>
    </row>
    <row r="17" spans="1:10" x14ac:dyDescent="0.25">
      <c r="A17">
        <f t="shared" si="4"/>
        <v>15</v>
      </c>
      <c r="B17">
        <f>VLOOKUP(A17,Base!$BU$3:$BV$21,2,FALSE)</f>
        <v>4</v>
      </c>
      <c r="C17" s="7">
        <f>+VLOOKUP(B17,Base!$BV$3:$BW$21,2,FALSE)</f>
        <v>0</v>
      </c>
      <c r="D17" s="7">
        <f>+VLOOKUP(B17,Base!$BV$3:$BX$21,3,FALSE)</f>
        <v>0.15</v>
      </c>
      <c r="E17" s="6">
        <f t="shared" si="0"/>
        <v>0</v>
      </c>
      <c r="F17" s="6">
        <f t="shared" si="5"/>
        <v>0.55000000000000016</v>
      </c>
      <c r="G17" s="6">
        <f t="shared" si="1"/>
        <v>0</v>
      </c>
      <c r="H17" s="6" t="str">
        <f>+VLOOKUP(B17,Base!$A$3:$C$21,3,FALSE)</f>
        <v>Core - Retail</v>
      </c>
      <c r="I17" s="6">
        <f t="shared" si="2"/>
        <v>0</v>
      </c>
      <c r="J17">
        <f t="shared" si="3"/>
        <v>0</v>
      </c>
    </row>
    <row r="18" spans="1:10" x14ac:dyDescent="0.25">
      <c r="A18">
        <f t="shared" si="4"/>
        <v>16</v>
      </c>
      <c r="B18">
        <f>VLOOKUP(A18,Base!$BU$3:$BV$21,2,FALSE)</f>
        <v>15</v>
      </c>
      <c r="C18" s="7">
        <f>+VLOOKUP(B18,Base!$BV$3:$BW$21,2,FALSE)</f>
        <v>0.01</v>
      </c>
      <c r="D18" s="7">
        <f>+VLOOKUP(B18,Base!$BV$3:$BX$21,3,FALSE)</f>
        <v>7.0000000000000007E-2</v>
      </c>
      <c r="E18" s="6">
        <f t="shared" si="0"/>
        <v>0.01</v>
      </c>
      <c r="F18" s="6">
        <f t="shared" si="5"/>
        <v>0.56000000000000016</v>
      </c>
      <c r="G18" s="6">
        <f t="shared" si="1"/>
        <v>0</v>
      </c>
      <c r="H18" s="6" t="str">
        <f>+VLOOKUP(B18,Base!$A$3:$C$21,3,FALSE)</f>
        <v>Manufactured Home Park</v>
      </c>
      <c r="I18" s="6">
        <f t="shared" si="2"/>
        <v>0.01</v>
      </c>
      <c r="J18">
        <f t="shared" si="3"/>
        <v>0</v>
      </c>
    </row>
    <row r="19" spans="1:10" x14ac:dyDescent="0.25">
      <c r="A19">
        <f t="shared" si="4"/>
        <v>17</v>
      </c>
      <c r="B19">
        <f>VLOOKUP(A19,Base!$BU$3:$BV$21,2,FALSE)</f>
        <v>18</v>
      </c>
      <c r="C19" s="7">
        <f>+VLOOKUP(B19,Base!$BV$3:$BW$21,2,FALSE)</f>
        <v>0.01</v>
      </c>
      <c r="D19" s="7">
        <f>+VLOOKUP(B19,Base!$BV$3:$BX$21,3,FALSE)</f>
        <v>7.0000000000000007E-2</v>
      </c>
      <c r="E19" s="6">
        <f t="shared" si="0"/>
        <v>0.01</v>
      </c>
      <c r="F19" s="6">
        <f t="shared" si="5"/>
        <v>0.57000000000000017</v>
      </c>
      <c r="G19" s="6">
        <f t="shared" si="1"/>
        <v>0</v>
      </c>
      <c r="H19" s="6" t="str">
        <f>+VLOOKUP(B19,Base!$A$3:$C$21,3,FALSE)</f>
        <v>Self-Storage</v>
      </c>
      <c r="I19" s="6">
        <f t="shared" si="2"/>
        <v>0.01</v>
      </c>
      <c r="J19">
        <f t="shared" si="3"/>
        <v>0</v>
      </c>
    </row>
    <row r="20" spans="1:10" x14ac:dyDescent="0.25">
      <c r="A20">
        <f t="shared" si="4"/>
        <v>18</v>
      </c>
      <c r="B20">
        <f>VLOOKUP(A20,Base!$BU$3:$BV$21,2,FALSE)</f>
        <v>3</v>
      </c>
      <c r="C20" s="7">
        <f>+VLOOKUP(B20,Base!$BV$3:$BW$21,2,FALSE)</f>
        <v>0</v>
      </c>
      <c r="D20" s="7">
        <f>+VLOOKUP(B20,Base!$BV$3:$BX$21,3,FALSE)</f>
        <v>0.15</v>
      </c>
      <c r="E20" s="6">
        <f t="shared" si="0"/>
        <v>0</v>
      </c>
      <c r="F20" s="6">
        <f t="shared" si="5"/>
        <v>0.57000000000000017</v>
      </c>
      <c r="G20" s="6">
        <f t="shared" si="1"/>
        <v>0</v>
      </c>
      <c r="H20" s="6" t="str">
        <f>+VLOOKUP(B20,Base!$A$3:$C$21,3,FALSE)</f>
        <v>Core - Off</v>
      </c>
      <c r="I20" s="6">
        <f t="shared" si="2"/>
        <v>0</v>
      </c>
      <c r="J20">
        <f t="shared" si="3"/>
        <v>0</v>
      </c>
    </row>
    <row r="21" spans="1:10" x14ac:dyDescent="0.25">
      <c r="A21">
        <f>+A20+1</f>
        <v>19</v>
      </c>
      <c r="B21">
        <f>VLOOKUP(A21,Base!$BU$3:$BV$21,2,FALSE)</f>
        <v>7</v>
      </c>
      <c r="C21" s="7">
        <f>+VLOOKUP(B21,Base!$BV$3:$BW$21,2,FALSE)</f>
        <v>0.05</v>
      </c>
      <c r="D21" s="7">
        <f>+VLOOKUP(B21,Base!$BV$3:$BX$21,3,FALSE)</f>
        <v>0.15</v>
      </c>
      <c r="E21" s="6">
        <f t="shared" si="0"/>
        <v>0.05</v>
      </c>
      <c r="F21" s="6">
        <f t="shared" si="5"/>
        <v>0.62000000000000022</v>
      </c>
      <c r="G21" s="6">
        <f t="shared" ref="G21" si="6">+IF(F21&lt;(1-$C$23),E21,IF(((1-$C$23)-F20)&gt;0,((1-$C$23)-F20),0))</f>
        <v>0</v>
      </c>
      <c r="H21" s="6" t="str">
        <f>+VLOOKUP(B21,Base!$A$3:$C$21,3,FALSE)</f>
        <v>Core-Plus - Off</v>
      </c>
      <c r="I21" s="6">
        <f t="shared" si="2"/>
        <v>0.05</v>
      </c>
      <c r="J21">
        <f t="shared" si="3"/>
        <v>0</v>
      </c>
    </row>
    <row r="23" spans="1:10" x14ac:dyDescent="0.25">
      <c r="C23" s="5">
        <f>SUM(C3:C21)</f>
        <v>0.62000000000000022</v>
      </c>
      <c r="D23" s="5"/>
      <c r="I23" s="5">
        <f>SUM(I3:I21)</f>
        <v>1</v>
      </c>
      <c r="J23">
        <f>+SUM(J3:J21)</f>
        <v>0</v>
      </c>
    </row>
    <row r="26" spans="1:10" x14ac:dyDescent="0.25">
      <c r="D26" t="s">
        <v>166</v>
      </c>
      <c r="E26" s="31">
        <v>2</v>
      </c>
      <c r="F26">
        <f>+IF(E26&lt;E27,"ERROR",)</f>
        <v>0</v>
      </c>
    </row>
    <row r="27" spans="1:10" x14ac:dyDescent="0.25">
      <c r="D27" t="s">
        <v>167</v>
      </c>
      <c r="E27" s="29">
        <f>1/C23</f>
        <v>1.6129032258064511</v>
      </c>
    </row>
    <row r="30" spans="1:10" x14ac:dyDescent="0.25">
      <c r="B30" s="28" t="s">
        <v>42</v>
      </c>
      <c r="D30" s="28" t="s">
        <v>45</v>
      </c>
      <c r="E30" s="28" t="s">
        <v>168</v>
      </c>
    </row>
    <row r="31" spans="1:10" x14ac:dyDescent="0.25">
      <c r="B31">
        <v>1</v>
      </c>
      <c r="C31" s="6" t="str">
        <f>+VLOOKUP(B31,Base!$A$3:$C$21,3,FALSE)</f>
        <v>Core - Res</v>
      </c>
      <c r="D31" s="6">
        <f t="shared" ref="D31:D49" si="7">+VLOOKUP(B31,$B$3:$I$21,8,FALSE)</f>
        <v>0</v>
      </c>
      <c r="E31" s="6">
        <f>+Base!Z3</f>
        <v>0.25590455986373772</v>
      </c>
    </row>
    <row r="32" spans="1:10" x14ac:dyDescent="0.25">
      <c r="B32">
        <f>+B31+1</f>
        <v>2</v>
      </c>
      <c r="C32" s="6" t="str">
        <f>+VLOOKUP(B32,Base!$A$3:$C$21,3,FALSE)</f>
        <v>Core - Ind</v>
      </c>
      <c r="D32" s="6">
        <f t="shared" si="7"/>
        <v>0</v>
      </c>
      <c r="E32" s="6">
        <f>+Base!Z4</f>
        <v>0.15196424472706616</v>
      </c>
    </row>
    <row r="33" spans="2:5" x14ac:dyDescent="0.25">
      <c r="B33">
        <f t="shared" ref="B33:B49" si="8">+B32+1</f>
        <v>3</v>
      </c>
      <c r="C33" s="6" t="str">
        <f>+VLOOKUP(B33,Base!$A$3:$C$21,3,FALSE)</f>
        <v>Core - Off</v>
      </c>
      <c r="D33" s="6">
        <f t="shared" si="7"/>
        <v>0</v>
      </c>
      <c r="E33" s="6">
        <f>+Base!Z5</f>
        <v>-6.7132978262232856E-2</v>
      </c>
    </row>
    <row r="34" spans="2:5" x14ac:dyDescent="0.25">
      <c r="B34">
        <f t="shared" si="8"/>
        <v>4</v>
      </c>
      <c r="C34" s="6" t="str">
        <f>+VLOOKUP(B34,Base!$A$3:$C$21,3,FALSE)</f>
        <v>Core - Retail</v>
      </c>
      <c r="D34" s="6">
        <f t="shared" si="7"/>
        <v>0</v>
      </c>
      <c r="E34" s="6">
        <f>+Base!Z6</f>
        <v>8.135398129383109E-2</v>
      </c>
    </row>
    <row r="35" spans="2:5" x14ac:dyDescent="0.25">
      <c r="B35">
        <f t="shared" si="8"/>
        <v>5</v>
      </c>
      <c r="C35" s="6" t="str">
        <f>+VLOOKUP(B35,Base!$A$3:$C$21,3,FALSE)</f>
        <v>Core-Plus - Res</v>
      </c>
      <c r="D35" s="6">
        <f t="shared" si="7"/>
        <v>0.3</v>
      </c>
      <c r="E35" s="6">
        <f>+Base!Z7</f>
        <v>0.2705296628426066</v>
      </c>
    </row>
    <row r="36" spans="2:5" x14ac:dyDescent="0.25">
      <c r="B36">
        <f t="shared" si="8"/>
        <v>6</v>
      </c>
      <c r="C36" s="6" t="str">
        <f>+VLOOKUP(B36,Base!$A$3:$C$21,3,FALSE)</f>
        <v>Core-Plus - Ind</v>
      </c>
      <c r="D36" s="6">
        <f t="shared" si="7"/>
        <v>0.22999999999999973</v>
      </c>
      <c r="E36" s="6">
        <f>+Base!Z8</f>
        <v>0.14445853288798016</v>
      </c>
    </row>
    <row r="37" spans="2:5" x14ac:dyDescent="0.25">
      <c r="B37">
        <f t="shared" si="8"/>
        <v>7</v>
      </c>
      <c r="C37" s="6" t="str">
        <f>+VLOOKUP(B37,Base!$A$3:$C$21,3,FALSE)</f>
        <v>Core-Plus - Off</v>
      </c>
      <c r="D37" s="6">
        <f t="shared" si="7"/>
        <v>0.05</v>
      </c>
      <c r="E37" s="6">
        <f>+Base!Z9</f>
        <v>-7.4836844404411074E-2</v>
      </c>
    </row>
    <row r="38" spans="2:5" x14ac:dyDescent="0.25">
      <c r="B38">
        <f t="shared" si="8"/>
        <v>8</v>
      </c>
      <c r="C38" s="6" t="str">
        <f>+VLOOKUP(B38,Base!$A$3:$C$21,3,FALSE)</f>
        <v>Core-Plus - Ret</v>
      </c>
      <c r="D38" s="6">
        <f t="shared" si="7"/>
        <v>0.05</v>
      </c>
      <c r="E38" s="6">
        <f>+Base!Z10</f>
        <v>0.10808574521444925</v>
      </c>
    </row>
    <row r="39" spans="2:5" x14ac:dyDescent="0.25">
      <c r="B39">
        <f t="shared" si="8"/>
        <v>9</v>
      </c>
      <c r="C39" s="6" t="str">
        <f>+VLOOKUP(B39,Base!$A$3:$C$21,3,FALSE)</f>
        <v>Data Center</v>
      </c>
      <c r="D39" s="6">
        <f t="shared" si="7"/>
        <v>0.1</v>
      </c>
      <c r="E39" s="6">
        <f>+Base!Z11</f>
        <v>0.38579056027567971</v>
      </c>
    </row>
    <row r="40" spans="2:5" x14ac:dyDescent="0.25">
      <c r="B40">
        <f t="shared" si="8"/>
        <v>10</v>
      </c>
      <c r="C40" s="6" t="str">
        <f>+VLOOKUP(B40,Base!$A$3:$C$21,3,FALSE)</f>
        <v>Single-Family Rental</v>
      </c>
      <c r="D40" s="6">
        <f t="shared" si="7"/>
        <v>0.1</v>
      </c>
      <c r="E40" s="6">
        <f>+Base!Z12</f>
        <v>0.22870483501419048</v>
      </c>
    </row>
    <row r="41" spans="2:5" x14ac:dyDescent="0.25">
      <c r="B41">
        <f t="shared" si="8"/>
        <v>11</v>
      </c>
      <c r="C41" s="6" t="str">
        <f>+VLOOKUP(B41,Base!$A$3:$C$21,3,FALSE)</f>
        <v>Cold Storage</v>
      </c>
      <c r="D41" s="6">
        <f t="shared" si="7"/>
        <v>0.02</v>
      </c>
      <c r="E41" s="6">
        <f>+Base!Z13</f>
        <v>0.12953342148941571</v>
      </c>
    </row>
    <row r="42" spans="2:5" x14ac:dyDescent="0.25">
      <c r="B42">
        <f t="shared" si="8"/>
        <v>12</v>
      </c>
      <c r="C42" s="6" t="str">
        <f>+VLOOKUP(B42,Base!$A$3:$C$21,3,FALSE)</f>
        <v>Senior Housing</v>
      </c>
      <c r="D42" s="6">
        <f t="shared" si="7"/>
        <v>0.04</v>
      </c>
      <c r="E42" s="6">
        <f>+Base!Z14</f>
        <v>0.2940667795188836</v>
      </c>
    </row>
    <row r="43" spans="2:5" x14ac:dyDescent="0.25">
      <c r="B43">
        <f t="shared" si="8"/>
        <v>13</v>
      </c>
      <c r="C43" s="6" t="str">
        <f>+VLOOKUP(B43,Base!$A$3:$C$21,3,FALSE)</f>
        <v>Student Housing</v>
      </c>
      <c r="D43" s="6">
        <f t="shared" si="7"/>
        <v>0.04</v>
      </c>
      <c r="E43" s="6">
        <f>+Base!Z15</f>
        <v>0.16214525169576444</v>
      </c>
    </row>
    <row r="44" spans="2:5" x14ac:dyDescent="0.25">
      <c r="B44">
        <f t="shared" si="8"/>
        <v>14</v>
      </c>
      <c r="C44" s="6" t="str">
        <f>+VLOOKUP(B44,Base!$A$3:$C$21,3,FALSE)</f>
        <v>Affordable Housing</v>
      </c>
      <c r="D44" s="6">
        <f t="shared" si="7"/>
        <v>0.02</v>
      </c>
      <c r="E44" s="6">
        <f>+Base!Z16</f>
        <v>0.20066842150681863</v>
      </c>
    </row>
    <row r="45" spans="2:5" x14ac:dyDescent="0.25">
      <c r="B45">
        <f t="shared" si="8"/>
        <v>15</v>
      </c>
      <c r="C45" s="6" t="str">
        <f>+VLOOKUP(B45,Base!$A$3:$C$21,3,FALSE)</f>
        <v>Manufactured Home Park</v>
      </c>
      <c r="D45" s="6">
        <f t="shared" si="7"/>
        <v>0.01</v>
      </c>
      <c r="E45" s="6">
        <f>+Base!Z17</f>
        <v>7.4275838152175755E-2</v>
      </c>
    </row>
    <row r="46" spans="2:5" x14ac:dyDescent="0.25">
      <c r="B46">
        <f t="shared" si="8"/>
        <v>16</v>
      </c>
      <c r="C46" s="6" t="str">
        <f>+VLOOKUP(B46,Base!$A$3:$C$21,3,FALSE)</f>
        <v>Medical Office</v>
      </c>
      <c r="D46" s="6">
        <f t="shared" si="7"/>
        <v>0.01</v>
      </c>
      <c r="E46" s="6">
        <f>+Base!Z18</f>
        <v>0.14311315194121521</v>
      </c>
    </row>
    <row r="47" spans="2:5" x14ac:dyDescent="0.25">
      <c r="B47">
        <f t="shared" si="8"/>
        <v>17</v>
      </c>
      <c r="C47" s="6" t="str">
        <f>+VLOOKUP(B47,Base!$A$3:$C$21,3,FALSE)</f>
        <v>Life Science</v>
      </c>
      <c r="D47" s="6">
        <f t="shared" si="7"/>
        <v>0.01</v>
      </c>
      <c r="E47" s="6">
        <f>+Base!Z19</f>
        <v>9.0228622344496356E-2</v>
      </c>
    </row>
    <row r="48" spans="2:5" x14ac:dyDescent="0.25">
      <c r="B48">
        <f t="shared" si="8"/>
        <v>18</v>
      </c>
      <c r="C48" s="6" t="str">
        <f>+VLOOKUP(B48,Base!$A$3:$C$21,3,FALSE)</f>
        <v>Self-Storage</v>
      </c>
      <c r="D48" s="6">
        <f t="shared" si="7"/>
        <v>0.01</v>
      </c>
      <c r="E48" s="6">
        <f>+Base!Z20</f>
        <v>2.5387781483563465E-2</v>
      </c>
    </row>
    <row r="49" spans="2:7" x14ac:dyDescent="0.25">
      <c r="B49">
        <f t="shared" si="8"/>
        <v>19</v>
      </c>
      <c r="C49" s="6" t="str">
        <f>+VLOOKUP(B49,Base!$A$3:$C$21,3,FALSE)</f>
        <v>IOS</v>
      </c>
      <c r="D49" s="6">
        <f t="shared" si="7"/>
        <v>0.01</v>
      </c>
      <c r="E49" s="6">
        <f>+Base!Z21</f>
        <v>0.11413091648918416</v>
      </c>
    </row>
    <row r="51" spans="2:7" x14ac:dyDescent="0.25">
      <c r="E51" s="6">
        <f>+SUMPRODUCT(D31:D49,E31:E49)</f>
        <v>0.20682022719912324</v>
      </c>
      <c r="G51" s="3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C0E67-8A39-431F-864C-4E04CEB8E02B}">
  <sheetPr codeName="Sheet5"/>
  <dimension ref="A1:J51"/>
  <sheetViews>
    <sheetView workbookViewId="0">
      <selection activeCell="K2" sqref="K2"/>
    </sheetView>
    <sheetView workbookViewId="1">
      <selection activeCell="E26" sqref="E26"/>
    </sheetView>
  </sheetViews>
  <sheetFormatPr defaultRowHeight="15" x14ac:dyDescent="0.25"/>
  <sheetData>
    <row r="1" spans="1:10" x14ac:dyDescent="0.25">
      <c r="A1" t="s">
        <v>161</v>
      </c>
    </row>
    <row r="2" spans="1:10" s="28" customFormat="1" x14ac:dyDescent="0.25">
      <c r="A2" s="28" t="s">
        <v>162</v>
      </c>
      <c r="B2" s="28" t="s">
        <v>42</v>
      </c>
      <c r="C2" s="28" t="s">
        <v>43</v>
      </c>
      <c r="D2" s="28" t="s">
        <v>44</v>
      </c>
      <c r="E2" s="28" t="s">
        <v>163</v>
      </c>
      <c r="F2" s="28" t="s">
        <v>164</v>
      </c>
      <c r="G2" s="28" t="s">
        <v>165</v>
      </c>
      <c r="I2" s="28" t="s">
        <v>45</v>
      </c>
      <c r="J2" s="28" t="s">
        <v>46</v>
      </c>
    </row>
    <row r="3" spans="1:10" x14ac:dyDescent="0.25">
      <c r="A3">
        <v>1</v>
      </c>
      <c r="B3">
        <f>VLOOKUP(A3,Base!$CB$3:$CC$21,2,FALSE)</f>
        <v>14</v>
      </c>
      <c r="C3" s="7">
        <f>+VLOOKUP(B3,Base!$CC$3:$CD$21,2,FALSE)</f>
        <v>0.01</v>
      </c>
      <c r="D3" s="7">
        <f>+VLOOKUP(B3,Base!$CC$3:$CE$21,3,FALSE)</f>
        <v>7.0000000000000007E-2</v>
      </c>
      <c r="E3" s="6">
        <f t="shared" ref="E3:E21" si="0">+($E$26-1)*C3</f>
        <v>2.5000000000000001E-2</v>
      </c>
      <c r="F3" s="6">
        <f>+E3</f>
        <v>2.5000000000000001E-2</v>
      </c>
      <c r="G3" s="6">
        <f t="shared" ref="G3:G21" si="1">+IF(F3&lt;(1-$C$23),E3,IF(((1-$C$23)-F2)&gt;0,((1-$C$23)-F2),0))</f>
        <v>2.5000000000000001E-2</v>
      </c>
      <c r="H3" s="6" t="str">
        <f>+VLOOKUP(B3,Base!$A$3:$C$21,3,FALSE)</f>
        <v>Affordable Housing</v>
      </c>
      <c r="I3" s="6">
        <f t="shared" ref="I3:I21" si="2">+C3+G3</f>
        <v>3.5000000000000003E-2</v>
      </c>
      <c r="J3">
        <f>+IF(I3&gt;D3,1,0)</f>
        <v>0</v>
      </c>
    </row>
    <row r="4" spans="1:10" x14ac:dyDescent="0.25">
      <c r="A4">
        <f>+A3+1</f>
        <v>2</v>
      </c>
      <c r="B4">
        <f>VLOOKUP(A4,Base!$CB$3:$CC$21,2,FALSE)</f>
        <v>12</v>
      </c>
      <c r="C4" s="7">
        <f>+VLOOKUP(B4,Base!$CC$3:$CD$21,2,FALSE)</f>
        <v>0.02</v>
      </c>
      <c r="D4" s="7">
        <f>+VLOOKUP(B4,Base!$CC$3:$CE$21,3,FALSE)</f>
        <v>0.1</v>
      </c>
      <c r="E4" s="6">
        <f t="shared" si="0"/>
        <v>0.05</v>
      </c>
      <c r="F4" s="6">
        <f>+F3+E4</f>
        <v>7.5000000000000011E-2</v>
      </c>
      <c r="G4" s="6">
        <f t="shared" si="1"/>
        <v>0.05</v>
      </c>
      <c r="H4" s="6" t="str">
        <f>+VLOOKUP(B4,Base!$A$3:$C$21,3,FALSE)</f>
        <v>Senior Housing</v>
      </c>
      <c r="I4" s="6">
        <f t="shared" si="2"/>
        <v>7.0000000000000007E-2</v>
      </c>
      <c r="J4">
        <f t="shared" ref="J4:J21" si="3">+IF(I4&gt;D4,1,0)</f>
        <v>0</v>
      </c>
    </row>
    <row r="5" spans="1:10" x14ac:dyDescent="0.25">
      <c r="A5">
        <f t="shared" ref="A5:A20" si="4">+A4+1</f>
        <v>3</v>
      </c>
      <c r="B5">
        <f>VLOOKUP(A5,Base!$CB$3:$CC$21,2,FALSE)</f>
        <v>9</v>
      </c>
      <c r="C5" s="7">
        <f>+VLOOKUP(B5,Base!$CC$3:$CD$21,2,FALSE)</f>
        <v>0.05</v>
      </c>
      <c r="D5" s="7">
        <f>+VLOOKUP(B5,Base!$CC$3:$CE$21,3,FALSE)</f>
        <v>0.15</v>
      </c>
      <c r="E5" s="6">
        <f t="shared" si="0"/>
        <v>0.125</v>
      </c>
      <c r="F5" s="6">
        <f t="shared" ref="F5:F21" si="5">+F4+E5</f>
        <v>0.2</v>
      </c>
      <c r="G5" s="6">
        <f t="shared" si="1"/>
        <v>0.125</v>
      </c>
      <c r="H5" s="6" t="str">
        <f>+VLOOKUP(B5,Base!$A$3:$C$21,3,FALSE)</f>
        <v>Data Center</v>
      </c>
      <c r="I5" s="6">
        <f t="shared" si="2"/>
        <v>0.17499999999999999</v>
      </c>
      <c r="J5">
        <f t="shared" si="3"/>
        <v>1</v>
      </c>
    </row>
    <row r="6" spans="1:10" x14ac:dyDescent="0.25">
      <c r="A6">
        <f t="shared" si="4"/>
        <v>4</v>
      </c>
      <c r="B6">
        <f>VLOOKUP(A6,Base!$CB$3:$CC$21,2,FALSE)</f>
        <v>8</v>
      </c>
      <c r="C6" s="7">
        <f>+VLOOKUP(B6,Base!$CC$3:$CD$21,2,FALSE)</f>
        <v>0.05</v>
      </c>
      <c r="D6" s="7">
        <f>+VLOOKUP(B6,Base!$CC$3:$CE$21,3,FALSE)</f>
        <v>0.15</v>
      </c>
      <c r="E6" s="6">
        <f t="shared" si="0"/>
        <v>0.125</v>
      </c>
      <c r="F6" s="6">
        <f t="shared" si="5"/>
        <v>0.32500000000000001</v>
      </c>
      <c r="G6" s="6">
        <f t="shared" si="1"/>
        <v>7.9999999999999793E-2</v>
      </c>
      <c r="H6" s="6" t="str">
        <f>+VLOOKUP(B6,Base!$A$3:$C$21,3,FALSE)</f>
        <v>Core-Plus - Ret</v>
      </c>
      <c r="I6" s="6">
        <f t="shared" si="2"/>
        <v>0.12999999999999978</v>
      </c>
      <c r="J6">
        <f t="shared" si="3"/>
        <v>0</v>
      </c>
    </row>
    <row r="7" spans="1:10" x14ac:dyDescent="0.25">
      <c r="A7">
        <f t="shared" si="4"/>
        <v>5</v>
      </c>
      <c r="B7">
        <f>VLOOKUP(A7,Base!$CB$3:$CC$21,2,FALSE)</f>
        <v>13</v>
      </c>
      <c r="C7" s="7">
        <f>+VLOOKUP(B7,Base!$CC$3:$CD$21,2,FALSE)</f>
        <v>0.02</v>
      </c>
      <c r="D7" s="7">
        <f>+VLOOKUP(B7,Base!$CC$3:$CE$21,3,FALSE)</f>
        <v>0.1</v>
      </c>
      <c r="E7" s="6">
        <f t="shared" si="0"/>
        <v>0.05</v>
      </c>
      <c r="F7" s="6">
        <f t="shared" si="5"/>
        <v>0.375</v>
      </c>
      <c r="G7" s="6">
        <f t="shared" si="1"/>
        <v>0</v>
      </c>
      <c r="H7" s="6" t="str">
        <f>+VLOOKUP(B7,Base!$A$3:$C$21,3,FALSE)</f>
        <v>Student Housing</v>
      </c>
      <c r="I7" s="6">
        <f t="shared" si="2"/>
        <v>0.02</v>
      </c>
      <c r="J7">
        <f t="shared" si="3"/>
        <v>0</v>
      </c>
    </row>
    <row r="8" spans="1:10" x14ac:dyDescent="0.25">
      <c r="A8">
        <f t="shared" si="4"/>
        <v>6</v>
      </c>
      <c r="B8">
        <f>VLOOKUP(A8,Base!$CB$3:$CC$21,2,FALSE)</f>
        <v>10</v>
      </c>
      <c r="C8" s="7">
        <f>+VLOOKUP(B8,Base!$CC$3:$CD$21,2,FALSE)</f>
        <v>0.05</v>
      </c>
      <c r="D8" s="7">
        <f>+VLOOKUP(B8,Base!$CC$3:$CE$21,3,FALSE)</f>
        <v>0.15</v>
      </c>
      <c r="E8" s="6">
        <f t="shared" si="0"/>
        <v>0.125</v>
      </c>
      <c r="F8" s="6">
        <f t="shared" si="5"/>
        <v>0.5</v>
      </c>
      <c r="G8" s="6">
        <f t="shared" si="1"/>
        <v>0</v>
      </c>
      <c r="H8" s="6" t="str">
        <f>+VLOOKUP(B8,Base!$A$3:$C$21,3,FALSE)</f>
        <v>Single-Family Rental</v>
      </c>
      <c r="I8" s="6">
        <f t="shared" si="2"/>
        <v>0.05</v>
      </c>
      <c r="J8">
        <f t="shared" si="3"/>
        <v>0</v>
      </c>
    </row>
    <row r="9" spans="1:10" x14ac:dyDescent="0.25">
      <c r="A9">
        <f t="shared" si="4"/>
        <v>7</v>
      </c>
      <c r="B9">
        <f>VLOOKUP(A9,Base!$CB$3:$CC$21,2,FALSE)</f>
        <v>5</v>
      </c>
      <c r="C9" s="7">
        <f>+VLOOKUP(B9,Base!$CC$3:$CD$21,2,FALSE)</f>
        <v>0.2</v>
      </c>
      <c r="D9" s="7">
        <f>+VLOOKUP(B9,Base!$CC$3:$CE$21,3,FALSE)</f>
        <v>0.3</v>
      </c>
      <c r="E9" s="6">
        <f t="shared" si="0"/>
        <v>0.5</v>
      </c>
      <c r="F9" s="6">
        <f t="shared" si="5"/>
        <v>1</v>
      </c>
      <c r="G9" s="6">
        <f t="shared" si="1"/>
        <v>0</v>
      </c>
      <c r="H9" s="6" t="str">
        <f>+VLOOKUP(B9,Base!$A$3:$C$21,3,FALSE)</f>
        <v>Core-Plus - Res</v>
      </c>
      <c r="I9" s="6">
        <f t="shared" si="2"/>
        <v>0.2</v>
      </c>
      <c r="J9">
        <f t="shared" si="3"/>
        <v>0</v>
      </c>
    </row>
    <row r="10" spans="1:10" x14ac:dyDescent="0.25">
      <c r="A10">
        <f t="shared" si="4"/>
        <v>8</v>
      </c>
      <c r="B10">
        <f>VLOOKUP(A10,Base!$CB$3:$CC$21,2,FALSE)</f>
        <v>16</v>
      </c>
      <c r="C10" s="7">
        <f>+VLOOKUP(B10,Base!$CC$3:$CD$21,2,FALSE)</f>
        <v>0.01</v>
      </c>
      <c r="D10" s="7">
        <f>+VLOOKUP(B10,Base!$CC$3:$CE$21,3,FALSE)</f>
        <v>7.0000000000000007E-2</v>
      </c>
      <c r="E10" s="6">
        <f t="shared" si="0"/>
        <v>2.5000000000000001E-2</v>
      </c>
      <c r="F10" s="6">
        <f t="shared" si="5"/>
        <v>1.0249999999999999</v>
      </c>
      <c r="G10" s="6">
        <f t="shared" si="1"/>
        <v>0</v>
      </c>
      <c r="H10" s="6" t="str">
        <f>+VLOOKUP(B10,Base!$A$3:$C$21,3,FALSE)</f>
        <v>Medical Office</v>
      </c>
      <c r="I10" s="6">
        <f t="shared" si="2"/>
        <v>0.01</v>
      </c>
      <c r="J10">
        <f t="shared" si="3"/>
        <v>0</v>
      </c>
    </row>
    <row r="11" spans="1:10" x14ac:dyDescent="0.25">
      <c r="A11">
        <f t="shared" si="4"/>
        <v>9</v>
      </c>
      <c r="B11">
        <f>VLOOKUP(A11,Base!$CB$3:$CC$21,2,FALSE)</f>
        <v>4</v>
      </c>
      <c r="C11" s="7">
        <f>+VLOOKUP(B11,Base!$CC$3:$CD$21,2,FALSE)</f>
        <v>0</v>
      </c>
      <c r="D11" s="7">
        <f>+VLOOKUP(B11,Base!$CC$3:$CE$21,3,FALSE)</f>
        <v>0.15</v>
      </c>
      <c r="E11" s="6">
        <f t="shared" si="0"/>
        <v>0</v>
      </c>
      <c r="F11" s="6">
        <f t="shared" si="5"/>
        <v>1.0249999999999999</v>
      </c>
      <c r="G11" s="6">
        <f t="shared" si="1"/>
        <v>0</v>
      </c>
      <c r="H11" s="6" t="str">
        <f>+VLOOKUP(B11,Base!$A$3:$C$21,3,FALSE)</f>
        <v>Core - Retail</v>
      </c>
      <c r="I11" s="6">
        <f t="shared" si="2"/>
        <v>0</v>
      </c>
      <c r="J11">
        <f t="shared" si="3"/>
        <v>0</v>
      </c>
    </row>
    <row r="12" spans="1:10" x14ac:dyDescent="0.25">
      <c r="A12">
        <f t="shared" si="4"/>
        <v>10</v>
      </c>
      <c r="B12">
        <f>VLOOKUP(A12,Base!$CB$3:$CC$21,2,FALSE)</f>
        <v>17</v>
      </c>
      <c r="C12" s="7">
        <f>+VLOOKUP(B12,Base!$CC$3:$CD$21,2,FALSE)</f>
        <v>0.01</v>
      </c>
      <c r="D12" s="7">
        <f>+VLOOKUP(B12,Base!$CC$3:$CE$21,3,FALSE)</f>
        <v>7.0000000000000007E-2</v>
      </c>
      <c r="E12" s="6">
        <f t="shared" si="0"/>
        <v>2.5000000000000001E-2</v>
      </c>
      <c r="F12" s="6">
        <f t="shared" si="5"/>
        <v>1.0499999999999998</v>
      </c>
      <c r="G12" s="6">
        <f t="shared" si="1"/>
        <v>0</v>
      </c>
      <c r="H12" s="6" t="str">
        <f>+VLOOKUP(B12,Base!$A$3:$C$21,3,FALSE)</f>
        <v>Life Science</v>
      </c>
      <c r="I12" s="6">
        <f t="shared" si="2"/>
        <v>0.01</v>
      </c>
      <c r="J12">
        <f t="shared" si="3"/>
        <v>0</v>
      </c>
    </row>
    <row r="13" spans="1:10" x14ac:dyDescent="0.25">
      <c r="A13">
        <f t="shared" si="4"/>
        <v>11</v>
      </c>
      <c r="B13">
        <f>VLOOKUP(A13,Base!$CB$3:$CC$21,2,FALSE)</f>
        <v>1</v>
      </c>
      <c r="C13" s="7">
        <f>+VLOOKUP(B13,Base!$CC$3:$CD$21,2,FALSE)</f>
        <v>0</v>
      </c>
      <c r="D13" s="7">
        <f>+VLOOKUP(B13,Base!$CC$3:$CE$21,3,FALSE)</f>
        <v>0.3</v>
      </c>
      <c r="E13" s="6">
        <f t="shared" si="0"/>
        <v>0</v>
      </c>
      <c r="F13" s="6">
        <f t="shared" si="5"/>
        <v>1.0499999999999998</v>
      </c>
      <c r="G13" s="6">
        <f t="shared" si="1"/>
        <v>0</v>
      </c>
      <c r="H13" s="6" t="str">
        <f>+VLOOKUP(B13,Base!$A$3:$C$21,3,FALSE)</f>
        <v>Core - Res</v>
      </c>
      <c r="I13" s="6">
        <f t="shared" si="2"/>
        <v>0</v>
      </c>
      <c r="J13">
        <f t="shared" si="3"/>
        <v>0</v>
      </c>
    </row>
    <row r="14" spans="1:10" x14ac:dyDescent="0.25">
      <c r="A14">
        <f t="shared" si="4"/>
        <v>12</v>
      </c>
      <c r="B14">
        <f>VLOOKUP(A14,Base!$CB$3:$CC$21,2,FALSE)</f>
        <v>15</v>
      </c>
      <c r="C14" s="7">
        <f>+VLOOKUP(B14,Base!$CC$3:$CD$21,2,FALSE)</f>
        <v>0.01</v>
      </c>
      <c r="D14" s="7">
        <f>+VLOOKUP(B14,Base!$CC$3:$CE$21,3,FALSE)</f>
        <v>7.0000000000000007E-2</v>
      </c>
      <c r="E14" s="6">
        <f t="shared" si="0"/>
        <v>2.5000000000000001E-2</v>
      </c>
      <c r="F14" s="6">
        <f t="shared" si="5"/>
        <v>1.0749999999999997</v>
      </c>
      <c r="G14" s="6">
        <f t="shared" si="1"/>
        <v>0</v>
      </c>
      <c r="H14" s="6" t="str">
        <f>+VLOOKUP(B14,Base!$A$3:$C$21,3,FALSE)</f>
        <v>Manufactured Home Park</v>
      </c>
      <c r="I14" s="6">
        <f t="shared" si="2"/>
        <v>0.01</v>
      </c>
      <c r="J14">
        <f t="shared" si="3"/>
        <v>0</v>
      </c>
    </row>
    <row r="15" spans="1:10" x14ac:dyDescent="0.25">
      <c r="A15">
        <f t="shared" si="4"/>
        <v>13</v>
      </c>
      <c r="B15">
        <f>VLOOKUP(A15,Base!$CB$3:$CC$21,2,FALSE)</f>
        <v>6</v>
      </c>
      <c r="C15" s="7">
        <f>+VLOOKUP(B15,Base!$CC$3:$CD$21,2,FALSE)</f>
        <v>0.2</v>
      </c>
      <c r="D15" s="7">
        <f>+VLOOKUP(B15,Base!$CC$3:$CE$21,3,FALSE)</f>
        <v>0.3</v>
      </c>
      <c r="E15" s="6">
        <f t="shared" si="0"/>
        <v>0.5</v>
      </c>
      <c r="F15" s="6">
        <f t="shared" si="5"/>
        <v>1.5749999999999997</v>
      </c>
      <c r="G15" s="6">
        <f t="shared" si="1"/>
        <v>0</v>
      </c>
      <c r="H15" s="6" t="str">
        <f>+VLOOKUP(B15,Base!$A$3:$C$21,3,FALSE)</f>
        <v>Core-Plus - Ind</v>
      </c>
      <c r="I15" s="6">
        <f t="shared" si="2"/>
        <v>0.2</v>
      </c>
      <c r="J15">
        <f t="shared" si="3"/>
        <v>0</v>
      </c>
    </row>
    <row r="16" spans="1:10" x14ac:dyDescent="0.25">
      <c r="A16">
        <f t="shared" si="4"/>
        <v>14</v>
      </c>
      <c r="B16">
        <f>VLOOKUP(A16,Base!$CB$3:$CC$21,2,FALSE)</f>
        <v>2</v>
      </c>
      <c r="C16" s="7">
        <f>+VLOOKUP(B16,Base!$CC$3:$CD$21,2,FALSE)</f>
        <v>0</v>
      </c>
      <c r="D16" s="7">
        <f>+VLOOKUP(B16,Base!$CC$3:$CE$21,3,FALSE)</f>
        <v>0.3</v>
      </c>
      <c r="E16" s="6">
        <f t="shared" si="0"/>
        <v>0</v>
      </c>
      <c r="F16" s="6">
        <f t="shared" si="5"/>
        <v>1.5749999999999997</v>
      </c>
      <c r="G16" s="6">
        <f t="shared" si="1"/>
        <v>0</v>
      </c>
      <c r="H16" s="6" t="str">
        <f>+VLOOKUP(B16,Base!$A$3:$C$21,3,FALSE)</f>
        <v>Core - Ind</v>
      </c>
      <c r="I16" s="6">
        <f t="shared" si="2"/>
        <v>0</v>
      </c>
      <c r="J16">
        <f t="shared" si="3"/>
        <v>0</v>
      </c>
    </row>
    <row r="17" spans="1:10" x14ac:dyDescent="0.25">
      <c r="A17">
        <f t="shared" si="4"/>
        <v>15</v>
      </c>
      <c r="B17">
        <f>VLOOKUP(A17,Base!$CB$3:$CC$21,2,FALSE)</f>
        <v>18</v>
      </c>
      <c r="C17" s="7">
        <f>+VLOOKUP(B17,Base!$CC$3:$CD$21,2,FALSE)</f>
        <v>0.01</v>
      </c>
      <c r="D17" s="7">
        <f>+VLOOKUP(B17,Base!$CC$3:$CE$21,3,FALSE)</f>
        <v>7.0000000000000007E-2</v>
      </c>
      <c r="E17" s="6">
        <f t="shared" si="0"/>
        <v>2.5000000000000001E-2</v>
      </c>
      <c r="F17" s="6">
        <f t="shared" si="5"/>
        <v>1.5999999999999996</v>
      </c>
      <c r="G17" s="6">
        <f t="shared" si="1"/>
        <v>0</v>
      </c>
      <c r="H17" s="6" t="str">
        <f>+VLOOKUP(B17,Base!$A$3:$C$21,3,FALSE)</f>
        <v>Self-Storage</v>
      </c>
      <c r="I17" s="6">
        <f t="shared" si="2"/>
        <v>0.01</v>
      </c>
      <c r="J17">
        <f t="shared" si="3"/>
        <v>0</v>
      </c>
    </row>
    <row r="18" spans="1:10" x14ac:dyDescent="0.25">
      <c r="A18">
        <f t="shared" si="4"/>
        <v>16</v>
      </c>
      <c r="B18">
        <f>VLOOKUP(A18,Base!$CB$3:$CC$21,2,FALSE)</f>
        <v>11</v>
      </c>
      <c r="C18" s="7">
        <f>+VLOOKUP(B18,Base!$CC$3:$CD$21,2,FALSE)</f>
        <v>0.02</v>
      </c>
      <c r="D18" s="7">
        <f>+VLOOKUP(B18,Base!$CC$3:$CE$21,3,FALSE)</f>
        <v>0.1</v>
      </c>
      <c r="E18" s="6">
        <f t="shared" si="0"/>
        <v>0.05</v>
      </c>
      <c r="F18" s="6">
        <f t="shared" si="5"/>
        <v>1.6499999999999997</v>
      </c>
      <c r="G18" s="6">
        <f t="shared" si="1"/>
        <v>0</v>
      </c>
      <c r="H18" s="6" t="str">
        <f>+VLOOKUP(B18,Base!$A$3:$C$21,3,FALSE)</f>
        <v>Cold Storage</v>
      </c>
      <c r="I18" s="6">
        <f t="shared" si="2"/>
        <v>0.02</v>
      </c>
      <c r="J18">
        <f t="shared" si="3"/>
        <v>0</v>
      </c>
    </row>
    <row r="19" spans="1:10" x14ac:dyDescent="0.25">
      <c r="A19">
        <f t="shared" si="4"/>
        <v>17</v>
      </c>
      <c r="B19">
        <f>VLOOKUP(A19,Base!$CB$3:$CC$21,2,FALSE)</f>
        <v>3</v>
      </c>
      <c r="C19" s="7">
        <f>+VLOOKUP(B19,Base!$CC$3:$CD$21,2,FALSE)</f>
        <v>0</v>
      </c>
      <c r="D19" s="7">
        <f>+VLOOKUP(B19,Base!$CC$3:$CE$21,3,FALSE)</f>
        <v>0.15</v>
      </c>
      <c r="E19" s="6">
        <f t="shared" si="0"/>
        <v>0</v>
      </c>
      <c r="F19" s="6">
        <f t="shared" si="5"/>
        <v>1.6499999999999997</v>
      </c>
      <c r="G19" s="6">
        <f t="shared" si="1"/>
        <v>0</v>
      </c>
      <c r="H19" s="6" t="str">
        <f>+VLOOKUP(B19,Base!$A$3:$C$21,3,FALSE)</f>
        <v>Core - Off</v>
      </c>
      <c r="I19" s="6">
        <f t="shared" si="2"/>
        <v>0</v>
      </c>
      <c r="J19">
        <f t="shared" si="3"/>
        <v>0</v>
      </c>
    </row>
    <row r="20" spans="1:10" x14ac:dyDescent="0.25">
      <c r="A20">
        <f t="shared" si="4"/>
        <v>18</v>
      </c>
      <c r="B20">
        <f>VLOOKUP(A20,Base!$CB$3:$CC$21,2,FALSE)</f>
        <v>19</v>
      </c>
      <c r="C20" s="7">
        <f>+VLOOKUP(B20,Base!$CC$3:$CD$21,2,FALSE)</f>
        <v>0.01</v>
      </c>
      <c r="D20" s="7">
        <f>+VLOOKUP(B20,Base!$CC$3:$CE$21,3,FALSE)</f>
        <v>7.0000000000000007E-2</v>
      </c>
      <c r="E20" s="6">
        <f t="shared" si="0"/>
        <v>2.5000000000000001E-2</v>
      </c>
      <c r="F20" s="6">
        <f t="shared" si="5"/>
        <v>1.6749999999999996</v>
      </c>
      <c r="G20" s="6">
        <f t="shared" si="1"/>
        <v>0</v>
      </c>
      <c r="H20" s="6" t="str">
        <f>+VLOOKUP(B20,Base!$A$3:$C$21,3,FALSE)</f>
        <v>IOS</v>
      </c>
      <c r="I20" s="6">
        <f t="shared" si="2"/>
        <v>0.01</v>
      </c>
      <c r="J20">
        <f t="shared" si="3"/>
        <v>0</v>
      </c>
    </row>
    <row r="21" spans="1:10" x14ac:dyDescent="0.25">
      <c r="A21">
        <f>+A20+1</f>
        <v>19</v>
      </c>
      <c r="B21">
        <f>VLOOKUP(A21,Base!$CB$3:$CC$21,2,FALSE)</f>
        <v>7</v>
      </c>
      <c r="C21" s="7">
        <f>+VLOOKUP(B21,Base!$CC$3:$CD$21,2,FALSE)</f>
        <v>0.05</v>
      </c>
      <c r="D21" s="7">
        <f>+VLOOKUP(B21,Base!$CC$3:$CE$21,3,FALSE)</f>
        <v>0.15</v>
      </c>
      <c r="E21" s="6">
        <f t="shared" si="0"/>
        <v>0.125</v>
      </c>
      <c r="F21" s="6">
        <f t="shared" si="5"/>
        <v>1.7999999999999996</v>
      </c>
      <c r="G21" s="6">
        <f t="shared" si="1"/>
        <v>0</v>
      </c>
      <c r="H21" s="6" t="str">
        <f>+VLOOKUP(B21,Base!$A$3:$C$21,3,FALSE)</f>
        <v>Core-Plus - Off</v>
      </c>
      <c r="I21" s="6">
        <f t="shared" si="2"/>
        <v>0.05</v>
      </c>
      <c r="J21">
        <f t="shared" si="3"/>
        <v>0</v>
      </c>
    </row>
    <row r="23" spans="1:10" x14ac:dyDescent="0.25">
      <c r="C23" s="5">
        <f>SUM(C3:C21)</f>
        <v>0.7200000000000002</v>
      </c>
      <c r="D23" s="5"/>
      <c r="I23" s="5">
        <f>SUM(I3:I21)</f>
        <v>1</v>
      </c>
      <c r="J23">
        <f>+SUM(J3:J21)</f>
        <v>1</v>
      </c>
    </row>
    <row r="26" spans="1:10" x14ac:dyDescent="0.25">
      <c r="D26" t="s">
        <v>166</v>
      </c>
      <c r="E26" s="31">
        <v>3.5</v>
      </c>
      <c r="F26">
        <f>+IF(E26&lt;E27,"ERROR",)</f>
        <v>0</v>
      </c>
    </row>
    <row r="27" spans="1:10" x14ac:dyDescent="0.25">
      <c r="D27" t="s">
        <v>167</v>
      </c>
      <c r="E27" s="29">
        <f>1/C23</f>
        <v>1.3888888888888886</v>
      </c>
    </row>
    <row r="30" spans="1:10" x14ac:dyDescent="0.25">
      <c r="B30" s="28" t="s">
        <v>42</v>
      </c>
      <c r="D30" s="28" t="s">
        <v>45</v>
      </c>
      <c r="E30" s="28" t="s">
        <v>169</v>
      </c>
    </row>
    <row r="31" spans="1:10" x14ac:dyDescent="0.25">
      <c r="B31">
        <v>1</v>
      </c>
      <c r="C31" s="6" t="str">
        <f>+VLOOKUP(B31,Base!$A$3:$C$21,3,FALSE)</f>
        <v>Core - Res</v>
      </c>
      <c r="D31" s="6">
        <f t="shared" ref="D31:D49" si="6">+VLOOKUP(B31,$B$3:$I$21,8,FALSE)</f>
        <v>0</v>
      </c>
      <c r="E31" s="6">
        <f>+Base!AA3</f>
        <v>7.9066583193964313E-2</v>
      </c>
    </row>
    <row r="32" spans="1:10" x14ac:dyDescent="0.25">
      <c r="B32">
        <f>+B31+1</f>
        <v>2</v>
      </c>
      <c r="C32" s="6" t="str">
        <f>+VLOOKUP(B32,Base!$A$3:$C$21,3,FALSE)</f>
        <v>Core - Ind</v>
      </c>
      <c r="D32" s="6">
        <f t="shared" si="6"/>
        <v>0</v>
      </c>
      <c r="E32" s="6">
        <f>+Base!AA4</f>
        <v>6.1531554056584614E-2</v>
      </c>
    </row>
    <row r="33" spans="2:5" x14ac:dyDescent="0.25">
      <c r="B33">
        <f t="shared" ref="B33:B49" si="7">+B32+1</f>
        <v>3</v>
      </c>
      <c r="C33" s="6" t="str">
        <f>+VLOOKUP(B33,Base!$A$3:$C$21,3,FALSE)</f>
        <v>Core - Off</v>
      </c>
      <c r="D33" s="6">
        <f t="shared" si="6"/>
        <v>0</v>
      </c>
      <c r="E33" s="6">
        <f>+Base!AA5</f>
        <v>2.7376584834430728E-2</v>
      </c>
    </row>
    <row r="34" spans="2:5" x14ac:dyDescent="0.25">
      <c r="B34">
        <f t="shared" si="7"/>
        <v>4</v>
      </c>
      <c r="C34" s="6" t="str">
        <f>+VLOOKUP(B34,Base!$A$3:$C$21,3,FALSE)</f>
        <v>Core - Retail</v>
      </c>
      <c r="D34" s="6">
        <f t="shared" si="6"/>
        <v>0</v>
      </c>
      <c r="E34" s="6">
        <f>+Base!AA6</f>
        <v>8.9923053859089164E-2</v>
      </c>
    </row>
    <row r="35" spans="2:5" x14ac:dyDescent="0.25">
      <c r="B35">
        <f t="shared" si="7"/>
        <v>5</v>
      </c>
      <c r="C35" s="6" t="str">
        <f>+VLOOKUP(B35,Base!$A$3:$C$21,3,FALSE)</f>
        <v>Core-Plus - Res</v>
      </c>
      <c r="D35" s="6">
        <f t="shared" si="6"/>
        <v>0.2</v>
      </c>
      <c r="E35" s="6">
        <f>+Base!AA7</f>
        <v>8.5711712845245147E-2</v>
      </c>
    </row>
    <row r="36" spans="2:5" x14ac:dyDescent="0.25">
      <c r="B36">
        <f t="shared" si="7"/>
        <v>6</v>
      </c>
      <c r="C36" s="6" t="str">
        <f>+VLOOKUP(B36,Base!$A$3:$C$21,3,FALSE)</f>
        <v>Core-Plus - Ind</v>
      </c>
      <c r="D36" s="6">
        <f t="shared" si="6"/>
        <v>0.2</v>
      </c>
      <c r="E36" s="6">
        <f>+Base!AA8</f>
        <v>6.4271024705738977E-2</v>
      </c>
    </row>
    <row r="37" spans="2:5" x14ac:dyDescent="0.25">
      <c r="B37">
        <f t="shared" si="7"/>
        <v>7</v>
      </c>
      <c r="C37" s="6" t="str">
        <f>+VLOOKUP(B37,Base!$A$3:$C$21,3,FALSE)</f>
        <v>Core-Plus - Off</v>
      </c>
      <c r="D37" s="6">
        <f t="shared" si="6"/>
        <v>0.05</v>
      </c>
      <c r="E37" s="6">
        <f>+Base!AA9</f>
        <v>2.2917980139525618E-2</v>
      </c>
    </row>
    <row r="38" spans="2:5" x14ac:dyDescent="0.25">
      <c r="B38">
        <f t="shared" si="7"/>
        <v>8</v>
      </c>
      <c r="C38" s="6" t="str">
        <f>+VLOOKUP(B38,Base!$A$3:$C$21,3,FALSE)</f>
        <v>Core-Plus - Ret</v>
      </c>
      <c r="D38" s="6">
        <f t="shared" si="6"/>
        <v>0.12999999999999978</v>
      </c>
      <c r="E38" s="6">
        <f>+Base!AA10</f>
        <v>0.1041380897123716</v>
      </c>
    </row>
    <row r="39" spans="2:5" x14ac:dyDescent="0.25">
      <c r="B39">
        <f t="shared" si="7"/>
        <v>9</v>
      </c>
      <c r="C39" s="6" t="str">
        <f>+VLOOKUP(B39,Base!$A$3:$C$21,3,FALSE)</f>
        <v>Data Center</v>
      </c>
      <c r="D39" s="6">
        <f t="shared" si="6"/>
        <v>0.17499999999999999</v>
      </c>
      <c r="E39" s="6">
        <f>+Base!AA11</f>
        <v>0.11776037825056673</v>
      </c>
    </row>
    <row r="40" spans="2:5" x14ac:dyDescent="0.25">
      <c r="B40">
        <f t="shared" si="7"/>
        <v>10</v>
      </c>
      <c r="C40" s="6" t="str">
        <f>+VLOOKUP(B40,Base!$A$3:$C$21,3,FALSE)</f>
        <v>Single-Family Rental</v>
      </c>
      <c r="D40" s="6">
        <f t="shared" si="6"/>
        <v>0.05</v>
      </c>
      <c r="E40" s="6">
        <f>+Base!AA12</f>
        <v>9.92075020878318E-2</v>
      </c>
    </row>
    <row r="41" spans="2:5" x14ac:dyDescent="0.25">
      <c r="B41">
        <f t="shared" si="7"/>
        <v>11</v>
      </c>
      <c r="C41" s="6" t="str">
        <f>+VLOOKUP(B41,Base!$A$3:$C$21,3,FALSE)</f>
        <v>Cold Storage</v>
      </c>
      <c r="D41" s="6">
        <f t="shared" si="6"/>
        <v>0.02</v>
      </c>
      <c r="E41" s="6">
        <f>+Base!AA13</f>
        <v>2.611443863592422E-2</v>
      </c>
    </row>
    <row r="42" spans="2:5" x14ac:dyDescent="0.25">
      <c r="B42">
        <f t="shared" si="7"/>
        <v>12</v>
      </c>
      <c r="C42" s="6" t="str">
        <f>+VLOOKUP(B42,Base!$A$3:$C$21,3,FALSE)</f>
        <v>Senior Housing</v>
      </c>
      <c r="D42" s="6">
        <f t="shared" si="6"/>
        <v>7.0000000000000007E-2</v>
      </c>
      <c r="E42" s="6">
        <f>+Base!AA14</f>
        <v>0.12802797333352589</v>
      </c>
    </row>
    <row r="43" spans="2:5" x14ac:dyDescent="0.25">
      <c r="B43">
        <f t="shared" si="7"/>
        <v>13</v>
      </c>
      <c r="C43" s="6" t="str">
        <f>+VLOOKUP(B43,Base!$A$3:$C$21,3,FALSE)</f>
        <v>Student Housing</v>
      </c>
      <c r="D43" s="6">
        <f t="shared" si="6"/>
        <v>0.02</v>
      </c>
      <c r="E43" s="6">
        <f>+Base!AA15</f>
        <v>9.9011552623854415E-2</v>
      </c>
    </row>
    <row r="44" spans="2:5" x14ac:dyDescent="0.25">
      <c r="B44">
        <f t="shared" si="7"/>
        <v>14</v>
      </c>
      <c r="C44" s="6" t="str">
        <f>+VLOOKUP(B44,Base!$A$3:$C$21,3,FALSE)</f>
        <v>Affordable Housing</v>
      </c>
      <c r="D44" s="6">
        <f t="shared" si="6"/>
        <v>3.5000000000000003E-2</v>
      </c>
      <c r="E44" s="6">
        <f>+Base!AA16</f>
        <v>0.13674553236164999</v>
      </c>
    </row>
    <row r="45" spans="2:5" x14ac:dyDescent="0.25">
      <c r="B45">
        <f t="shared" si="7"/>
        <v>15</v>
      </c>
      <c r="C45" s="6" t="str">
        <f>+VLOOKUP(B45,Base!$A$3:$C$21,3,FALSE)</f>
        <v>Manufactured Home Park</v>
      </c>
      <c r="D45" s="6">
        <f t="shared" si="6"/>
        <v>0.01</v>
      </c>
      <c r="E45" s="6">
        <f>+Base!AA17</f>
        <v>7.0214694361485197E-2</v>
      </c>
    </row>
    <row r="46" spans="2:5" x14ac:dyDescent="0.25">
      <c r="B46">
        <f t="shared" si="7"/>
        <v>16</v>
      </c>
      <c r="C46" s="6" t="str">
        <f>+VLOOKUP(B46,Base!$A$3:$C$21,3,FALSE)</f>
        <v>Medical Office</v>
      </c>
      <c r="D46" s="6">
        <f t="shared" si="6"/>
        <v>0.01</v>
      </c>
      <c r="E46" s="6">
        <f>+Base!AA18</f>
        <v>9.522133708091296E-2</v>
      </c>
    </row>
    <row r="47" spans="2:5" x14ac:dyDescent="0.25">
      <c r="B47">
        <f t="shared" si="7"/>
        <v>17</v>
      </c>
      <c r="C47" s="6" t="str">
        <f>+VLOOKUP(B47,Base!$A$3:$C$21,3,FALSE)</f>
        <v>Life Science</v>
      </c>
      <c r="D47" s="6">
        <f t="shared" si="6"/>
        <v>0.01</v>
      </c>
      <c r="E47" s="6">
        <f>+Base!AA19</f>
        <v>8.0708762563831637E-2</v>
      </c>
    </row>
    <row r="48" spans="2:5" x14ac:dyDescent="0.25">
      <c r="B48">
        <f t="shared" si="7"/>
        <v>18</v>
      </c>
      <c r="C48" s="6" t="str">
        <f>+VLOOKUP(B48,Base!$A$3:$C$21,3,FALSE)</f>
        <v>Self-Storage</v>
      </c>
      <c r="D48" s="6">
        <f t="shared" si="6"/>
        <v>0.01</v>
      </c>
      <c r="E48" s="6">
        <f>+Base!AA20</f>
        <v>2.9711189153066586E-2</v>
      </c>
    </row>
    <row r="49" spans="2:5" x14ac:dyDescent="0.25">
      <c r="B49">
        <f t="shared" si="7"/>
        <v>19</v>
      </c>
      <c r="C49" s="6" t="str">
        <f>+VLOOKUP(B49,Base!$A$3:$C$21,3,FALSE)</f>
        <v>IOS</v>
      </c>
      <c r="D49" s="6">
        <f t="shared" si="6"/>
        <v>0.01</v>
      </c>
      <c r="E49" s="6">
        <f>+Base!AA21</f>
        <v>2.0862223513029132E-2</v>
      </c>
    </row>
    <row r="51" spans="2:5" x14ac:dyDescent="0.25">
      <c r="E51" s="6">
        <f>+SUMPRODUCT(D31:D49,E31:E49)</f>
        <v>8.9466593135945571E-2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5B2B-8426-479C-BD31-2DA2EA6B2DA6}">
  <dimension ref="A2:R24"/>
  <sheetViews>
    <sheetView workbookViewId="0">
      <pane xSplit="3" ySplit="2" topLeftCell="D3" activePane="bottomRight" state="frozen"/>
      <selection pane="topRight" activeCell="C1" sqref="C1"/>
      <selection pane="bottomLeft" activeCell="A2" sqref="A2"/>
      <selection pane="bottomRight" activeCell="AH62" sqref="AH62"/>
    </sheetView>
    <sheetView workbookViewId="1">
      <pane xSplit="3" ySplit="2" topLeftCell="D23" activePane="bottomRight" state="frozen"/>
      <selection pane="topRight" activeCell="D1" sqref="D1"/>
      <selection pane="bottomLeft" activeCell="A3" sqref="A3"/>
      <selection pane="bottomRight" activeCell="E24" sqref="E24"/>
    </sheetView>
  </sheetViews>
  <sheetFormatPr defaultRowHeight="15" x14ac:dyDescent="0.25"/>
  <cols>
    <col min="1" max="1" width="15.140625" bestFit="1" customWidth="1"/>
    <col min="2" max="2" width="18.85546875" customWidth="1"/>
    <col min="3" max="3" width="23.5703125" bestFit="1" customWidth="1"/>
    <col min="12" max="13" width="11.140625" customWidth="1"/>
  </cols>
  <sheetData>
    <row r="2" spans="1:13" s="55" customFormat="1" ht="42.75" x14ac:dyDescent="0.25">
      <c r="A2" s="55" t="s">
        <v>10</v>
      </c>
      <c r="B2" s="56" t="s">
        <v>11</v>
      </c>
      <c r="C2" s="56" t="s">
        <v>12</v>
      </c>
      <c r="D2" s="56" t="s">
        <v>13</v>
      </c>
      <c r="E2" s="56" t="s">
        <v>173</v>
      </c>
      <c r="F2" s="56" t="s">
        <v>15</v>
      </c>
      <c r="G2" s="56" t="s">
        <v>175</v>
      </c>
      <c r="H2" s="56" t="s">
        <v>177</v>
      </c>
      <c r="I2" s="56" t="s">
        <v>2</v>
      </c>
      <c r="J2" s="56" t="s">
        <v>176</v>
      </c>
      <c r="K2" s="56" t="s">
        <v>170</v>
      </c>
      <c r="L2" s="56" t="s">
        <v>172</v>
      </c>
      <c r="M2" s="56" t="s">
        <v>5</v>
      </c>
    </row>
    <row r="3" spans="1:13" hidden="1" x14ac:dyDescent="0.25">
      <c r="A3">
        <v>1</v>
      </c>
      <c r="B3" s="54" t="s">
        <v>61</v>
      </c>
      <c r="C3" s="54" t="s">
        <v>62</v>
      </c>
    </row>
    <row r="4" spans="1:13" hidden="1" x14ac:dyDescent="0.25">
      <c r="A4">
        <f>+A3+1</f>
        <v>2</v>
      </c>
      <c r="B4" s="1" t="s">
        <v>61</v>
      </c>
      <c r="C4" s="1" t="s">
        <v>63</v>
      </c>
    </row>
    <row r="5" spans="1:13" hidden="1" x14ac:dyDescent="0.25">
      <c r="A5">
        <f t="shared" ref="A5:A21" si="0">+A4+1</f>
        <v>3</v>
      </c>
      <c r="B5" s="1" t="s">
        <v>61</v>
      </c>
      <c r="C5" s="1" t="s">
        <v>64</v>
      </c>
    </row>
    <row r="6" spans="1:13" hidden="1" x14ac:dyDescent="0.25">
      <c r="A6">
        <f t="shared" si="0"/>
        <v>4</v>
      </c>
      <c r="B6" s="1" t="s">
        <v>61</v>
      </c>
      <c r="C6" s="1" t="s">
        <v>65</v>
      </c>
    </row>
    <row r="7" spans="1:13" hidden="1" x14ac:dyDescent="0.25">
      <c r="A7">
        <f t="shared" si="0"/>
        <v>5</v>
      </c>
      <c r="B7" s="1" t="s">
        <v>61</v>
      </c>
      <c r="C7" s="1" t="s">
        <v>66</v>
      </c>
    </row>
    <row r="8" spans="1:13" hidden="1" x14ac:dyDescent="0.25">
      <c r="A8">
        <f t="shared" si="0"/>
        <v>6</v>
      </c>
      <c r="B8" s="1" t="s">
        <v>61</v>
      </c>
      <c r="C8" s="1" t="s">
        <v>67</v>
      </c>
    </row>
    <row r="9" spans="1:13" hidden="1" x14ac:dyDescent="0.25">
      <c r="A9">
        <f t="shared" si="0"/>
        <v>7</v>
      </c>
      <c r="B9" s="1" t="s">
        <v>61</v>
      </c>
      <c r="C9" s="1" t="s">
        <v>68</v>
      </c>
    </row>
    <row r="10" spans="1:13" hidden="1" x14ac:dyDescent="0.25">
      <c r="A10">
        <f t="shared" si="0"/>
        <v>8</v>
      </c>
      <c r="B10" s="1" t="s">
        <v>61</v>
      </c>
      <c r="C10" s="1" t="s">
        <v>69</v>
      </c>
    </row>
    <row r="11" spans="1:13" hidden="1" x14ac:dyDescent="0.25">
      <c r="A11">
        <f t="shared" si="0"/>
        <v>9</v>
      </c>
      <c r="B11" s="1" t="s">
        <v>61</v>
      </c>
      <c r="C11" s="1" t="s">
        <v>70</v>
      </c>
    </row>
    <row r="12" spans="1:13" hidden="1" x14ac:dyDescent="0.25">
      <c r="A12">
        <f t="shared" si="0"/>
        <v>10</v>
      </c>
      <c r="B12" s="1" t="s">
        <v>61</v>
      </c>
      <c r="C12" s="1" t="s">
        <v>71</v>
      </c>
    </row>
    <row r="13" spans="1:13" hidden="1" x14ac:dyDescent="0.25">
      <c r="A13">
        <f t="shared" si="0"/>
        <v>11</v>
      </c>
      <c r="B13" s="1" t="s">
        <v>61</v>
      </c>
      <c r="C13" s="1" t="s">
        <v>72</v>
      </c>
    </row>
    <row r="14" spans="1:13" hidden="1" x14ac:dyDescent="0.25">
      <c r="A14">
        <f t="shared" si="0"/>
        <v>12</v>
      </c>
      <c r="B14" s="1" t="s">
        <v>61</v>
      </c>
      <c r="C14" s="1" t="s">
        <v>73</v>
      </c>
    </row>
    <row r="15" spans="1:13" hidden="1" x14ac:dyDescent="0.25">
      <c r="A15">
        <f t="shared" si="0"/>
        <v>13</v>
      </c>
      <c r="B15" s="1" t="s">
        <v>61</v>
      </c>
      <c r="C15" s="1" t="s">
        <v>74</v>
      </c>
    </row>
    <row r="16" spans="1:13" hidden="1" x14ac:dyDescent="0.25">
      <c r="A16">
        <f t="shared" si="0"/>
        <v>14</v>
      </c>
      <c r="B16" s="1" t="s">
        <v>61</v>
      </c>
      <c r="C16" s="1" t="s">
        <v>75</v>
      </c>
    </row>
    <row r="17" spans="1:18" hidden="1" x14ac:dyDescent="0.25">
      <c r="A17">
        <f t="shared" si="0"/>
        <v>15</v>
      </c>
      <c r="B17" s="1" t="s">
        <v>61</v>
      </c>
      <c r="C17" s="1" t="s">
        <v>76</v>
      </c>
    </row>
    <row r="18" spans="1:18" hidden="1" x14ac:dyDescent="0.25">
      <c r="A18">
        <f t="shared" si="0"/>
        <v>16</v>
      </c>
      <c r="B18" s="1" t="s">
        <v>61</v>
      </c>
      <c r="C18" s="1" t="s">
        <v>77</v>
      </c>
    </row>
    <row r="19" spans="1:18" hidden="1" x14ac:dyDescent="0.25">
      <c r="A19">
        <f t="shared" si="0"/>
        <v>17</v>
      </c>
      <c r="B19" s="1" t="s">
        <v>61</v>
      </c>
      <c r="C19" s="1" t="s">
        <v>78</v>
      </c>
    </row>
    <row r="20" spans="1:18" hidden="1" x14ac:dyDescent="0.25">
      <c r="A20">
        <f t="shared" si="0"/>
        <v>18</v>
      </c>
      <c r="B20" s="1" t="s">
        <v>61</v>
      </c>
      <c r="C20" s="1" t="s">
        <v>79</v>
      </c>
    </row>
    <row r="21" spans="1:18" hidden="1" x14ac:dyDescent="0.25">
      <c r="A21">
        <f t="shared" si="0"/>
        <v>19</v>
      </c>
      <c r="B21" s="1" t="s">
        <v>61</v>
      </c>
      <c r="C21" s="1" t="s">
        <v>80</v>
      </c>
    </row>
    <row r="22" spans="1:18" hidden="1" x14ac:dyDescent="0.25"/>
    <row r="24" spans="1:18" x14ac:dyDescent="0.25">
      <c r="A24">
        <f>+A23+1</f>
        <v>1</v>
      </c>
      <c r="B24" s="1" t="s">
        <v>61</v>
      </c>
      <c r="C24" s="1" t="s">
        <v>63</v>
      </c>
      <c r="D24" s="7">
        <f>+Base!D62</f>
        <v>4.7E-2</v>
      </c>
      <c r="E24" s="7">
        <f>-D24*Base!E62</f>
        <v>-6.4860000000000004E-3</v>
      </c>
      <c r="F24" s="7">
        <f>+Base!F62</f>
        <v>4.0514000000000001E-2</v>
      </c>
      <c r="G24" s="7">
        <f>+Base!U62</f>
        <v>4.4087271289989571E-2</v>
      </c>
      <c r="H24" s="7">
        <f>+Base!X62</f>
        <v>-1.0293438774360342E-2</v>
      </c>
      <c r="I24" s="7">
        <f>+Base!AA62</f>
        <v>7.4307832515629224E-2</v>
      </c>
      <c r="J24" s="7">
        <f>+Base!BR62</f>
        <v>1.0999999999999999E-2</v>
      </c>
      <c r="K24" s="7">
        <f>+Base!AD62</f>
        <v>8.530783251562922E-2</v>
      </c>
      <c r="L24" s="7">
        <f>+Base!AG62</f>
        <v>8.8397591684032453E-2</v>
      </c>
      <c r="M24" s="7">
        <f>+Base!AJ62</f>
        <v>7.8397591684032458E-2</v>
      </c>
      <c r="N24" s="7"/>
      <c r="O24" s="7"/>
      <c r="P24" s="7"/>
      <c r="Q24" s="7"/>
      <c r="R24" s="7"/>
    </row>
  </sheetData>
  <pageMargins left="1.25" right="1.25" top="1" bottom="0.79166666666666696" header="0.25" footer="0.25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C2188-64B9-4663-A42E-125D1E4E7CCC}">
  <dimension ref="A2:R24"/>
  <sheetViews>
    <sheetView workbookViewId="0">
      <pane xSplit="3" ySplit="2" topLeftCell="X3" activePane="bottomRight" state="frozen"/>
      <selection pane="topRight" activeCell="C1" sqref="C1"/>
      <selection pane="bottomLeft" activeCell="A2" sqref="A2"/>
      <selection pane="bottomRight" activeCell="AH62" sqref="AH62"/>
    </sheetView>
    <sheetView tabSelected="1" workbookViewId="1">
      <selection activeCell="M25" sqref="M25"/>
    </sheetView>
  </sheetViews>
  <sheetFormatPr defaultRowHeight="15" x14ac:dyDescent="0.25"/>
  <cols>
    <col min="1" max="1" width="15.140625" bestFit="1" customWidth="1"/>
    <col min="2" max="2" width="18.85546875" customWidth="1"/>
    <col min="3" max="3" width="23.5703125" bestFit="1" customWidth="1"/>
    <col min="12" max="13" width="11.140625" customWidth="1"/>
  </cols>
  <sheetData>
    <row r="2" spans="1:13" s="55" customFormat="1" ht="42.75" x14ac:dyDescent="0.25">
      <c r="A2" s="55" t="s">
        <v>10</v>
      </c>
      <c r="B2" s="56" t="s">
        <v>11</v>
      </c>
      <c r="C2" s="56" t="s">
        <v>12</v>
      </c>
      <c r="D2" s="56" t="s">
        <v>13</v>
      </c>
      <c r="E2" s="56" t="s">
        <v>173</v>
      </c>
      <c r="F2" s="56" t="s">
        <v>15</v>
      </c>
      <c r="G2" s="56" t="s">
        <v>174</v>
      </c>
      <c r="H2" s="56" t="s">
        <v>177</v>
      </c>
      <c r="I2" s="56" t="s">
        <v>2</v>
      </c>
      <c r="J2" s="56" t="s">
        <v>176</v>
      </c>
      <c r="K2" s="56" t="s">
        <v>170</v>
      </c>
      <c r="L2" s="56" t="s">
        <v>172</v>
      </c>
      <c r="M2" s="56" t="s">
        <v>5</v>
      </c>
    </row>
    <row r="3" spans="1:13" hidden="1" x14ac:dyDescent="0.25">
      <c r="A3">
        <v>1</v>
      </c>
      <c r="B3" s="54" t="s">
        <v>61</v>
      </c>
      <c r="C3" s="54" t="s">
        <v>62</v>
      </c>
    </row>
    <row r="4" spans="1:13" hidden="1" x14ac:dyDescent="0.25">
      <c r="A4">
        <f>+A3+1</f>
        <v>2</v>
      </c>
      <c r="B4" s="1" t="s">
        <v>61</v>
      </c>
      <c r="C4" s="1" t="s">
        <v>63</v>
      </c>
    </row>
    <row r="5" spans="1:13" hidden="1" x14ac:dyDescent="0.25">
      <c r="A5">
        <f t="shared" ref="A5:A21" si="0">+A4+1</f>
        <v>3</v>
      </c>
      <c r="B5" s="1" t="s">
        <v>61</v>
      </c>
      <c r="C5" s="1" t="s">
        <v>64</v>
      </c>
    </row>
    <row r="6" spans="1:13" hidden="1" x14ac:dyDescent="0.25">
      <c r="A6">
        <f t="shared" si="0"/>
        <v>4</v>
      </c>
      <c r="B6" s="1" t="s">
        <v>61</v>
      </c>
      <c r="C6" s="1" t="s">
        <v>65</v>
      </c>
    </row>
    <row r="7" spans="1:13" hidden="1" x14ac:dyDescent="0.25">
      <c r="A7">
        <f t="shared" si="0"/>
        <v>5</v>
      </c>
      <c r="B7" s="1" t="s">
        <v>61</v>
      </c>
      <c r="C7" s="1" t="s">
        <v>66</v>
      </c>
    </row>
    <row r="8" spans="1:13" hidden="1" x14ac:dyDescent="0.25">
      <c r="A8">
        <f t="shared" si="0"/>
        <v>6</v>
      </c>
      <c r="B8" s="1" t="s">
        <v>61</v>
      </c>
      <c r="C8" s="1" t="s">
        <v>67</v>
      </c>
    </row>
    <row r="9" spans="1:13" hidden="1" x14ac:dyDescent="0.25">
      <c r="A9">
        <f t="shared" si="0"/>
        <v>7</v>
      </c>
      <c r="B9" s="1" t="s">
        <v>61</v>
      </c>
      <c r="C9" s="1" t="s">
        <v>68</v>
      </c>
    </row>
    <row r="10" spans="1:13" hidden="1" x14ac:dyDescent="0.25">
      <c r="A10">
        <f t="shared" si="0"/>
        <v>8</v>
      </c>
      <c r="B10" s="1" t="s">
        <v>61</v>
      </c>
      <c r="C10" s="1" t="s">
        <v>69</v>
      </c>
    </row>
    <row r="11" spans="1:13" hidden="1" x14ac:dyDescent="0.25">
      <c r="A11">
        <f t="shared" si="0"/>
        <v>9</v>
      </c>
      <c r="B11" s="1" t="s">
        <v>61</v>
      </c>
      <c r="C11" s="1" t="s">
        <v>70</v>
      </c>
    </row>
    <row r="12" spans="1:13" hidden="1" x14ac:dyDescent="0.25">
      <c r="A12">
        <f t="shared" si="0"/>
        <v>10</v>
      </c>
      <c r="B12" s="1" t="s">
        <v>61</v>
      </c>
      <c r="C12" s="1" t="s">
        <v>71</v>
      </c>
    </row>
    <row r="13" spans="1:13" hidden="1" x14ac:dyDescent="0.25">
      <c r="A13">
        <f t="shared" si="0"/>
        <v>11</v>
      </c>
      <c r="B13" s="1" t="s">
        <v>61</v>
      </c>
      <c r="C13" s="1" t="s">
        <v>72</v>
      </c>
    </row>
    <row r="14" spans="1:13" hidden="1" x14ac:dyDescent="0.25">
      <c r="A14">
        <f t="shared" si="0"/>
        <v>12</v>
      </c>
      <c r="B14" s="1" t="s">
        <v>61</v>
      </c>
      <c r="C14" s="1" t="s">
        <v>73</v>
      </c>
    </row>
    <row r="15" spans="1:13" hidden="1" x14ac:dyDescent="0.25">
      <c r="A15">
        <f t="shared" si="0"/>
        <v>13</v>
      </c>
      <c r="B15" s="1" t="s">
        <v>61</v>
      </c>
      <c r="C15" s="1" t="s">
        <v>74</v>
      </c>
    </row>
    <row r="16" spans="1:13" hidden="1" x14ac:dyDescent="0.25">
      <c r="A16">
        <f t="shared" si="0"/>
        <v>14</v>
      </c>
      <c r="B16" s="1" t="s">
        <v>61</v>
      </c>
      <c r="C16" s="1" t="s">
        <v>75</v>
      </c>
    </row>
    <row r="17" spans="1:18" hidden="1" x14ac:dyDescent="0.25">
      <c r="A17">
        <f t="shared" si="0"/>
        <v>15</v>
      </c>
      <c r="B17" s="1" t="s">
        <v>61</v>
      </c>
      <c r="C17" s="1" t="s">
        <v>76</v>
      </c>
    </row>
    <row r="18" spans="1:18" hidden="1" x14ac:dyDescent="0.25">
      <c r="A18">
        <f t="shared" si="0"/>
        <v>16</v>
      </c>
      <c r="B18" s="1" t="s">
        <v>61</v>
      </c>
      <c r="C18" s="1" t="s">
        <v>77</v>
      </c>
    </row>
    <row r="19" spans="1:18" hidden="1" x14ac:dyDescent="0.25">
      <c r="A19">
        <f t="shared" si="0"/>
        <v>17</v>
      </c>
      <c r="B19" s="1" t="s">
        <v>61</v>
      </c>
      <c r="C19" s="1" t="s">
        <v>78</v>
      </c>
    </row>
    <row r="20" spans="1:18" hidden="1" x14ac:dyDescent="0.25">
      <c r="A20">
        <f t="shared" si="0"/>
        <v>18</v>
      </c>
      <c r="B20" s="1" t="s">
        <v>61</v>
      </c>
      <c r="C20" s="1" t="s">
        <v>79</v>
      </c>
    </row>
    <row r="21" spans="1:18" hidden="1" x14ac:dyDescent="0.25">
      <c r="A21">
        <f t="shared" si="0"/>
        <v>19</v>
      </c>
      <c r="B21" s="1" t="s">
        <v>61</v>
      </c>
      <c r="C21" s="1" t="s">
        <v>80</v>
      </c>
    </row>
    <row r="22" spans="1:18" hidden="1" x14ac:dyDescent="0.25"/>
    <row r="24" spans="1:18" x14ac:dyDescent="0.25">
      <c r="A24">
        <f>+A23+1</f>
        <v>1</v>
      </c>
      <c r="B24" s="1" t="s">
        <v>61</v>
      </c>
      <c r="C24" s="1" t="s">
        <v>63</v>
      </c>
      <c r="D24" s="7">
        <f>+Base!D62</f>
        <v>4.7E-2</v>
      </c>
      <c r="E24" s="7">
        <f>-D24*Base!E62</f>
        <v>-6.4860000000000004E-3</v>
      </c>
      <c r="F24" s="7">
        <f>+Base!F62</f>
        <v>4.0514000000000001E-2</v>
      </c>
      <c r="G24" s="7">
        <f>+Base!T62</f>
        <v>5.0682158715117609E-2</v>
      </c>
      <c r="H24" s="7">
        <f>+Base!W62</f>
        <v>0.17227302673363581</v>
      </c>
      <c r="I24" s="7">
        <f>+Base!Z62</f>
        <v>0.26346918544875342</v>
      </c>
      <c r="J24" s="7">
        <f>+Base!BR62</f>
        <v>1.0999999999999999E-2</v>
      </c>
      <c r="K24" s="7">
        <f>+Base!AC62</f>
        <v>0.27446918544875343</v>
      </c>
      <c r="L24" s="7">
        <f>+Base!AF62</f>
        <v>0.29857687272083716</v>
      </c>
      <c r="M24" s="7">
        <f>+Base!AI62</f>
        <v>0.28857687272083715</v>
      </c>
      <c r="N24" s="7"/>
      <c r="O24" s="7"/>
      <c r="P24" s="7"/>
      <c r="Q24" s="7"/>
      <c r="R24" s="7"/>
    </row>
  </sheetData>
  <pageMargins left="1.25" right="1.25" top="1" bottom="0.79166666666666696" header="0.25" footer="0.2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T_Base</vt:lpstr>
      <vt:lpstr>CoreFunds</vt:lpstr>
      <vt:lpstr>Base</vt:lpstr>
      <vt:lpstr>compare</vt:lpstr>
      <vt:lpstr>tmp</vt:lpstr>
      <vt:lpstr>port3YR</vt:lpstr>
      <vt:lpstr>port6YR</vt:lpstr>
      <vt:lpstr>6 YR Sum</vt:lpstr>
      <vt:lpstr>3 YR Sum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Prashant Tewari</dc:creator>
  <cp:keywords/>
  <dc:description/>
  <cp:lastModifiedBy>Prashant Tewari</cp:lastModifiedBy>
  <cp:revision/>
  <dcterms:created xsi:type="dcterms:W3CDTF">2024-11-09T23:08:21Z</dcterms:created>
  <dcterms:modified xsi:type="dcterms:W3CDTF">2025-07-27T21:33:55Z</dcterms:modified>
  <cp:category/>
  <cp:contentStatus/>
</cp:coreProperties>
</file>